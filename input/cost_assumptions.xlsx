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C:\Models\Future_Markets\input\"/>
    </mc:Choice>
  </mc:AlternateContent>
  <xr:revisionPtr revIDLastSave="0" documentId="13_ncr:1_{E534DA2C-97BA-438B-841A-6167485207CC}" xr6:coauthVersionLast="47" xr6:coauthVersionMax="47" xr10:uidLastSave="{00000000-0000-0000-0000-000000000000}"/>
  <bookViews>
    <workbookView xWindow="-120" yWindow="-120" windowWidth="29040" windowHeight="15720" xr2:uid="{39A86D6D-A476-4D3C-A08C-DD3D915D0AD3}"/>
  </bookViews>
  <sheets>
    <sheet name="01_Raw_Inputs" sheetId="1" r:id="rId1"/>
    <sheet name="02_Parameters" sheetId="2" r:id="rId2"/>
    <sheet name="03_Calculated_Costs" sheetId="3" r:id="rId3"/>
  </sheets>
  <definedNames>
    <definedName name="_xlnm._FilterDatabase" localSheetId="0" hidden="1">'01_Raw_Inputs'!$A$3:$M$65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3" l="1"/>
  <c r="M4" i="3"/>
  <c r="M5" i="3"/>
  <c r="M6" i="3"/>
  <c r="M7" i="3"/>
  <c r="M8" i="3"/>
  <c r="M9" i="3"/>
  <c r="M10" i="3"/>
  <c r="M11" i="3"/>
  <c r="M12" i="3"/>
  <c r="M13" i="3"/>
  <c r="M14" i="3"/>
  <c r="M15" i="3"/>
  <c r="M16" i="3"/>
  <c r="M17" i="3"/>
  <c r="M18" i="3"/>
  <c r="M19" i="3"/>
  <c r="M20" i="3"/>
  <c r="M21" i="3"/>
  <c r="M22" i="3"/>
  <c r="M23" i="3"/>
  <c r="M24" i="3"/>
  <c r="M25" i="3"/>
  <c r="M26" i="3"/>
  <c r="M27" i="3"/>
  <c r="M28" i="3"/>
  <c r="M29" i="3"/>
  <c r="M30" i="3"/>
  <c r="M31" i="3"/>
  <c r="M32" i="3"/>
  <c r="M33" i="3"/>
  <c r="M34" i="3"/>
  <c r="M35" i="3"/>
  <c r="M36" i="3"/>
  <c r="M37" i="3"/>
  <c r="M38" i="3"/>
  <c r="M39" i="3"/>
  <c r="M40" i="3"/>
  <c r="M41" i="3"/>
  <c r="M42" i="3"/>
  <c r="M43" i="3"/>
  <c r="M44" i="3"/>
  <c r="M45" i="3"/>
  <c r="M46" i="3"/>
  <c r="M47" i="3"/>
  <c r="M48" i="3"/>
  <c r="M49" i="3"/>
  <c r="M50" i="3"/>
  <c r="M51" i="3"/>
  <c r="M52" i="3"/>
  <c r="M53" i="3"/>
  <c r="M54" i="3"/>
  <c r="M55" i="3"/>
  <c r="M56" i="3"/>
  <c r="M57" i="3"/>
  <c r="M58" i="3"/>
  <c r="M59" i="3"/>
  <c r="M60" i="3"/>
  <c r="M61" i="3"/>
  <c r="M62" i="3"/>
  <c r="M63" i="3"/>
  <c r="M64" i="3"/>
  <c r="M65" i="3"/>
  <c r="M2" i="3"/>
  <c r="L59" i="3"/>
  <c r="L60" i="3"/>
  <c r="L61" i="3"/>
  <c r="L62" i="3"/>
  <c r="L63" i="3"/>
  <c r="L64" i="3"/>
  <c r="L65" i="3"/>
  <c r="L58" i="3"/>
  <c r="L55" i="3"/>
  <c r="L56" i="3"/>
  <c r="L57" i="3"/>
  <c r="L54" i="3"/>
  <c r="L41" i="3"/>
  <c r="L42" i="3"/>
  <c r="L43" i="3"/>
  <c r="L44" i="3"/>
  <c r="L45" i="3"/>
  <c r="L46" i="3"/>
  <c r="L47" i="3"/>
  <c r="L48" i="3"/>
  <c r="L49" i="3"/>
  <c r="L50" i="3"/>
  <c r="L51" i="3"/>
  <c r="L52" i="3"/>
  <c r="L53" i="3"/>
  <c r="L40" i="3"/>
  <c r="L39" i="3"/>
  <c r="L38" i="3"/>
  <c r="L37" i="3"/>
  <c r="L36" i="3"/>
  <c r="L31" i="3"/>
  <c r="L32" i="3"/>
  <c r="L33" i="3"/>
  <c r="L34" i="3"/>
  <c r="L35" i="3"/>
  <c r="L30" i="3"/>
  <c r="L29" i="3"/>
  <c r="L28" i="3"/>
  <c r="L24" i="3"/>
  <c r="L25" i="3"/>
  <c r="L26" i="3"/>
  <c r="L27" i="3"/>
  <c r="L15" i="3"/>
  <c r="L16" i="3"/>
  <c r="L17" i="3"/>
  <c r="L18" i="3"/>
  <c r="L19" i="3"/>
  <c r="L20" i="3"/>
  <c r="L21" i="3"/>
  <c r="L22" i="3"/>
  <c r="L23" i="3"/>
  <c r="L14" i="3"/>
  <c r="L11" i="3"/>
  <c r="L12" i="3"/>
  <c r="L13" i="3"/>
  <c r="L10" i="3"/>
  <c r="L9" i="3"/>
  <c r="L8" i="3"/>
  <c r="L7" i="3"/>
  <c r="L6" i="3"/>
  <c r="L5" i="3"/>
  <c r="L4" i="3"/>
  <c r="L3" i="3"/>
  <c r="L2" i="3"/>
  <c r="K55" i="3"/>
  <c r="K56" i="3"/>
  <c r="K57" i="3"/>
  <c r="K58" i="3"/>
  <c r="K59" i="3"/>
  <c r="K60" i="3"/>
  <c r="K61" i="3"/>
  <c r="K62" i="3"/>
  <c r="K63" i="3"/>
  <c r="K64" i="3"/>
  <c r="K65" i="3"/>
  <c r="K54" i="3"/>
  <c r="K53" i="3"/>
  <c r="K52" i="3"/>
  <c r="K37" i="3"/>
  <c r="K38" i="3"/>
  <c r="K39" i="3"/>
  <c r="K40" i="3"/>
  <c r="K41" i="3"/>
  <c r="K42" i="3"/>
  <c r="K43" i="3"/>
  <c r="K44" i="3"/>
  <c r="K45" i="3"/>
  <c r="K46" i="3"/>
  <c r="K47" i="3"/>
  <c r="K48" i="3"/>
  <c r="K49" i="3"/>
  <c r="K50" i="3"/>
  <c r="K51" i="3"/>
  <c r="K25" i="3"/>
  <c r="K26" i="3"/>
  <c r="K27" i="3"/>
  <c r="K28" i="3"/>
  <c r="K29" i="3"/>
  <c r="K30" i="3"/>
  <c r="K31" i="3"/>
  <c r="K32" i="3"/>
  <c r="K33" i="3"/>
  <c r="K34" i="3"/>
  <c r="K35" i="3"/>
  <c r="K36" i="3"/>
  <c r="K24" i="3"/>
  <c r="K23" i="3"/>
  <c r="K22" i="3"/>
  <c r="K3" i="3"/>
  <c r="K4" i="3"/>
  <c r="K5" i="3"/>
  <c r="K6" i="3"/>
  <c r="K7" i="3"/>
  <c r="K8" i="3"/>
  <c r="K9" i="3"/>
  <c r="K10" i="3"/>
  <c r="K11" i="3"/>
  <c r="K12" i="3"/>
  <c r="K13" i="3"/>
  <c r="K14" i="3"/>
  <c r="K15" i="3"/>
  <c r="K16" i="3"/>
  <c r="K17" i="3"/>
  <c r="K18" i="3"/>
  <c r="K19" i="3"/>
  <c r="K20" i="3"/>
  <c r="K21" i="3"/>
  <c r="K2" i="3"/>
  <c r="J60" i="3"/>
  <c r="J61" i="3"/>
  <c r="J62" i="3"/>
  <c r="J63" i="3"/>
  <c r="J64" i="3"/>
  <c r="J65" i="3"/>
  <c r="J59" i="3"/>
  <c r="J58" i="3"/>
  <c r="J49" i="3"/>
  <c r="J50" i="3"/>
  <c r="J51" i="3"/>
  <c r="J52" i="3"/>
  <c r="J53" i="3"/>
  <c r="J54" i="3"/>
  <c r="J55" i="3"/>
  <c r="J56" i="3"/>
  <c r="J57" i="3"/>
  <c r="J48" i="3"/>
  <c r="J47" i="3"/>
  <c r="J46" i="3"/>
  <c r="J37" i="3"/>
  <c r="J38" i="3"/>
  <c r="J39" i="3"/>
  <c r="J40" i="3"/>
  <c r="J41" i="3"/>
  <c r="J42" i="3"/>
  <c r="J43" i="3"/>
  <c r="J44" i="3"/>
  <c r="J45" i="3"/>
  <c r="J36" i="3"/>
  <c r="J35" i="3"/>
  <c r="J34" i="3"/>
  <c r="J3" i="3"/>
  <c r="J4" i="3"/>
  <c r="J5" i="3"/>
  <c r="J6" i="3"/>
  <c r="J7" i="3"/>
  <c r="J8" i="3"/>
  <c r="J9" i="3"/>
  <c r="J10" i="3"/>
  <c r="J11" i="3"/>
  <c r="J12" i="3"/>
  <c r="J13" i="3"/>
  <c r="J14" i="3"/>
  <c r="J15" i="3"/>
  <c r="J16" i="3"/>
  <c r="J17" i="3"/>
  <c r="J18" i="3"/>
  <c r="J19" i="3"/>
  <c r="J20" i="3"/>
  <c r="J21" i="3"/>
  <c r="J22" i="3"/>
  <c r="J23" i="3"/>
  <c r="J24" i="3"/>
  <c r="J25" i="3"/>
  <c r="J26" i="3"/>
  <c r="J27" i="3"/>
  <c r="J28" i="3"/>
  <c r="J29" i="3"/>
  <c r="J30" i="3"/>
  <c r="J31" i="3"/>
  <c r="J32" i="3"/>
  <c r="J33" i="3"/>
  <c r="J2" i="3"/>
  <c r="I37" i="3"/>
  <c r="I38" i="3"/>
  <c r="I39" i="3"/>
  <c r="I40" i="3"/>
  <c r="I41" i="3"/>
  <c r="I42" i="3"/>
  <c r="I43" i="3"/>
  <c r="I44" i="3"/>
  <c r="I45" i="3"/>
  <c r="I46" i="3"/>
  <c r="I47" i="3"/>
  <c r="I48" i="3"/>
  <c r="I49" i="3"/>
  <c r="I50" i="3"/>
  <c r="I51" i="3"/>
  <c r="I52" i="3"/>
  <c r="I53" i="3"/>
  <c r="I54" i="3"/>
  <c r="I55" i="3"/>
  <c r="I56" i="3"/>
  <c r="I57" i="3"/>
  <c r="I58" i="3"/>
  <c r="I59" i="3"/>
  <c r="I60" i="3"/>
  <c r="I61" i="3"/>
  <c r="I62" i="3"/>
  <c r="I63" i="3"/>
  <c r="I64" i="3"/>
  <c r="I65" i="3"/>
  <c r="I36" i="3"/>
  <c r="I35" i="3"/>
  <c r="I34" i="3"/>
  <c r="I3" i="3"/>
  <c r="I4" i="3"/>
  <c r="I5" i="3"/>
  <c r="I6" i="3"/>
  <c r="I7" i="3"/>
  <c r="I8" i="3"/>
  <c r="I9" i="3"/>
  <c r="I10" i="3"/>
  <c r="I11" i="3"/>
  <c r="I12" i="3"/>
  <c r="I13" i="3"/>
  <c r="I14" i="3"/>
  <c r="I15" i="3"/>
  <c r="I16" i="3"/>
  <c r="I17" i="3"/>
  <c r="I18" i="3"/>
  <c r="I19" i="3"/>
  <c r="I20" i="3"/>
  <c r="I21" i="3"/>
  <c r="I22" i="3"/>
  <c r="I23" i="3"/>
  <c r="I24" i="3"/>
  <c r="I25" i="3"/>
  <c r="I26" i="3"/>
  <c r="I27" i="3"/>
  <c r="I28" i="3"/>
  <c r="I29" i="3"/>
  <c r="I30" i="3"/>
  <c r="I31" i="3"/>
  <c r="I32" i="3"/>
  <c r="I33" i="3"/>
  <c r="I2" i="3"/>
  <c r="H65" i="3"/>
  <c r="H64" i="3"/>
  <c r="H63" i="3"/>
  <c r="H62" i="3"/>
  <c r="H61" i="3"/>
  <c r="H60" i="3"/>
  <c r="H59" i="3"/>
  <c r="H58" i="3"/>
  <c r="H57" i="3"/>
  <c r="H56" i="3"/>
  <c r="H55" i="3"/>
  <c r="H54" i="3"/>
  <c r="H53" i="3"/>
  <c r="H52" i="3"/>
  <c r="H51" i="3"/>
  <c r="H50" i="3"/>
  <c r="H49" i="3"/>
  <c r="H48" i="3"/>
  <c r="H47" i="3"/>
  <c r="H46" i="3"/>
  <c r="H41" i="3"/>
  <c r="H42" i="3"/>
  <c r="H43" i="3"/>
  <c r="H44" i="3"/>
  <c r="H45" i="3"/>
  <c r="H40" i="3"/>
  <c r="H39" i="3"/>
  <c r="H38" i="3"/>
  <c r="H37" i="3"/>
  <c r="H36" i="3"/>
  <c r="H35" i="3"/>
  <c r="H34" i="3"/>
  <c r="H33" i="3"/>
  <c r="H32" i="3"/>
  <c r="H31" i="3"/>
  <c r="H30" i="3"/>
  <c r="H29" i="3"/>
  <c r="H28" i="3"/>
  <c r="H27" i="3"/>
  <c r="H26" i="3"/>
  <c r="H11" i="3"/>
  <c r="H12" i="3"/>
  <c r="H13" i="3"/>
  <c r="H14" i="3"/>
  <c r="H15" i="3"/>
  <c r="H16" i="3"/>
  <c r="H17" i="3"/>
  <c r="H18" i="3"/>
  <c r="H19" i="3"/>
  <c r="H20" i="3"/>
  <c r="H21" i="3"/>
  <c r="H22" i="3"/>
  <c r="H23" i="3"/>
  <c r="H24" i="3"/>
  <c r="H25" i="3"/>
  <c r="H10" i="3"/>
  <c r="H9" i="3"/>
  <c r="H8" i="3"/>
  <c r="H7" i="3"/>
  <c r="H6" i="3"/>
  <c r="H5" i="3"/>
  <c r="H4" i="3"/>
  <c r="H3" i="3"/>
  <c r="H2" i="3"/>
  <c r="G59" i="3"/>
  <c r="G60" i="3"/>
  <c r="G61" i="3"/>
  <c r="G62" i="3"/>
  <c r="G63" i="3"/>
  <c r="G64" i="3"/>
  <c r="G65" i="3"/>
  <c r="G58" i="3"/>
  <c r="G57" i="3"/>
  <c r="G56" i="3"/>
  <c r="G55" i="3"/>
  <c r="G54" i="3"/>
  <c r="G42" i="3"/>
  <c r="G43" i="3"/>
  <c r="G44" i="3"/>
  <c r="G45" i="3"/>
  <c r="G46" i="3"/>
  <c r="G47" i="3"/>
  <c r="G48" i="3"/>
  <c r="G49" i="3"/>
  <c r="G50" i="3"/>
  <c r="G51" i="3"/>
  <c r="G52" i="3"/>
  <c r="G53" i="3"/>
  <c r="G41" i="3"/>
  <c r="G40" i="3"/>
  <c r="G39" i="3"/>
  <c r="G38" i="3"/>
  <c r="G31" i="3"/>
  <c r="G32" i="3"/>
  <c r="G33" i="3"/>
  <c r="G34" i="3"/>
  <c r="G35" i="3"/>
  <c r="G36" i="3"/>
  <c r="G37" i="3"/>
  <c r="G30" i="3"/>
  <c r="G29" i="3"/>
  <c r="G28" i="3"/>
  <c r="G27" i="3"/>
  <c r="G26" i="3"/>
  <c r="G25" i="3"/>
  <c r="G24" i="3"/>
  <c r="G13" i="3"/>
  <c r="G14" i="3"/>
  <c r="G15" i="3"/>
  <c r="G16" i="3"/>
  <c r="G17" i="3"/>
  <c r="G18" i="3"/>
  <c r="G19" i="3"/>
  <c r="G20" i="3"/>
  <c r="G21" i="3"/>
  <c r="G22" i="3"/>
  <c r="G23" i="3"/>
  <c r="G12" i="3"/>
  <c r="G11" i="3"/>
  <c r="G10" i="3"/>
  <c r="G9" i="3"/>
  <c r="G8" i="3"/>
  <c r="G7" i="3"/>
  <c r="G6" i="3"/>
  <c r="G3" i="3"/>
  <c r="G4" i="3"/>
  <c r="G5" i="3"/>
  <c r="G2" i="3"/>
  <c r="F61" i="3"/>
  <c r="F62" i="3"/>
  <c r="F63" i="3"/>
  <c r="F64" i="3"/>
  <c r="F65" i="3"/>
  <c r="F53" i="3"/>
  <c r="F54" i="3"/>
  <c r="F55" i="3"/>
  <c r="F56" i="3"/>
  <c r="F57" i="3"/>
  <c r="F58" i="3"/>
  <c r="F59" i="3"/>
  <c r="F60" i="3"/>
  <c r="F52" i="3"/>
  <c r="F51" i="3"/>
  <c r="F50" i="3"/>
  <c r="F47" i="3"/>
  <c r="F48" i="3"/>
  <c r="F49" i="3"/>
  <c r="F37" i="3"/>
  <c r="F38" i="3"/>
  <c r="F39" i="3"/>
  <c r="F40" i="3"/>
  <c r="F41" i="3"/>
  <c r="F42" i="3"/>
  <c r="F43" i="3"/>
  <c r="F44" i="3"/>
  <c r="F45" i="3"/>
  <c r="F46" i="3"/>
  <c r="F36" i="3"/>
  <c r="F35" i="3"/>
  <c r="F34" i="3"/>
  <c r="F33" i="3"/>
  <c r="F32" i="3"/>
  <c r="F31" i="3"/>
  <c r="F30" i="3"/>
  <c r="F29" i="3"/>
  <c r="F28" i="3"/>
  <c r="F27" i="3"/>
  <c r="F26" i="3"/>
  <c r="F11" i="3"/>
  <c r="F12" i="3"/>
  <c r="F13" i="3"/>
  <c r="F14" i="3"/>
  <c r="F15" i="3"/>
  <c r="F16" i="3"/>
  <c r="F17" i="3"/>
  <c r="F18" i="3"/>
  <c r="F19" i="3"/>
  <c r="F20" i="3"/>
  <c r="F21" i="3"/>
  <c r="F22" i="3"/>
  <c r="F23" i="3"/>
  <c r="F24" i="3"/>
  <c r="F25" i="3"/>
  <c r="F10" i="3"/>
  <c r="F5" i="3"/>
  <c r="F4" i="3"/>
  <c r="F7" i="3"/>
  <c r="F8" i="3"/>
  <c r="F9" i="3"/>
  <c r="F6" i="3"/>
  <c r="F3" i="3"/>
  <c r="F2" i="3"/>
  <c r="E2" i="3"/>
  <c r="E3" i="3"/>
  <c r="E4" i="3"/>
  <c r="E5" i="3"/>
  <c r="E6" i="3"/>
  <c r="E7" i="3"/>
  <c r="E8" i="3"/>
  <c r="E9" i="3"/>
  <c r="E10" i="3"/>
  <c r="E11" i="3"/>
  <c r="E12" i="3"/>
  <c r="E13" i="3"/>
  <c r="E14" i="3"/>
  <c r="E15" i="3"/>
  <c r="E16" i="3"/>
  <c r="E17" i="3"/>
  <c r="E18" i="3"/>
  <c r="E19" i="3"/>
  <c r="E20" i="3"/>
  <c r="E21" i="3"/>
  <c r="E22" i="3"/>
  <c r="E23" i="3"/>
  <c r="E24" i="3"/>
  <c r="E25" i="3"/>
  <c r="E26" i="3"/>
  <c r="E27" i="3"/>
  <c r="E28" i="3"/>
  <c r="E29" i="3"/>
  <c r="E30" i="3"/>
  <c r="E31" i="3"/>
  <c r="E32" i="3"/>
  <c r="E33" i="3"/>
  <c r="E34" i="3"/>
  <c r="E35" i="3"/>
  <c r="E36" i="3"/>
  <c r="E37" i="3"/>
  <c r="E38" i="3"/>
  <c r="E39" i="3"/>
  <c r="E40" i="3"/>
  <c r="E41" i="3"/>
  <c r="E42" i="3"/>
  <c r="E43" i="3"/>
  <c r="E44" i="3"/>
  <c r="E45" i="3"/>
  <c r="E46" i="3"/>
  <c r="E47" i="3"/>
  <c r="E48" i="3"/>
  <c r="E49" i="3"/>
  <c r="E50" i="3"/>
  <c r="E51" i="3"/>
  <c r="E52" i="3"/>
  <c r="E53" i="3"/>
  <c r="E54" i="3"/>
  <c r="E55" i="3"/>
  <c r="E56" i="3"/>
  <c r="E57" i="3"/>
  <c r="E58" i="3"/>
  <c r="E59" i="3"/>
  <c r="E60" i="3"/>
  <c r="E61" i="3"/>
  <c r="E62" i="3"/>
  <c r="E63" i="3"/>
  <c r="E64" i="3"/>
  <c r="E65" i="3"/>
  <c r="D2" i="3"/>
  <c r="D3" i="3"/>
  <c r="D4" i="3"/>
  <c r="D5" i="3"/>
  <c r="D6" i="3"/>
  <c r="D7" i="3"/>
  <c r="D8" i="3"/>
  <c r="D9" i="3"/>
  <c r="D10" i="3"/>
  <c r="D11" i="3"/>
  <c r="D12" i="3"/>
  <c r="D13" i="3"/>
  <c r="D14" i="3"/>
  <c r="D15" i="3"/>
  <c r="D16" i="3"/>
  <c r="D17" i="3"/>
  <c r="D18" i="3"/>
  <c r="D19" i="3"/>
  <c r="D20" i="3"/>
  <c r="D21" i="3"/>
  <c r="D22" i="3"/>
  <c r="D23" i="3"/>
  <c r="D24" i="3"/>
  <c r="D25" i="3"/>
  <c r="D26" i="3"/>
  <c r="D27" i="3"/>
  <c r="D28" i="3"/>
  <c r="D29" i="3"/>
  <c r="D30" i="3"/>
  <c r="D31" i="3"/>
  <c r="D32" i="3"/>
  <c r="D33" i="3"/>
  <c r="D34" i="3"/>
  <c r="D35" i="3"/>
  <c r="D36" i="3"/>
  <c r="D37" i="3"/>
  <c r="D38" i="3"/>
  <c r="D39" i="3"/>
  <c r="D40" i="3"/>
  <c r="D41" i="3"/>
  <c r="D42" i="3"/>
  <c r="D43" i="3"/>
  <c r="D44" i="3"/>
  <c r="D45" i="3"/>
  <c r="D46" i="3"/>
  <c r="D47" i="3"/>
  <c r="D48" i="3"/>
  <c r="D49" i="3"/>
  <c r="D50" i="3"/>
  <c r="D51" i="3"/>
  <c r="D52" i="3"/>
  <c r="D53" i="3"/>
  <c r="D54" i="3"/>
  <c r="D55" i="3"/>
  <c r="D56" i="3"/>
  <c r="D57" i="3"/>
  <c r="D58" i="3"/>
  <c r="D59" i="3"/>
  <c r="D60" i="3"/>
  <c r="D61" i="3"/>
  <c r="D62" i="3"/>
  <c r="D63" i="3"/>
  <c r="D64" i="3"/>
  <c r="D65" i="3"/>
  <c r="C3" i="3"/>
  <c r="C4" i="3"/>
  <c r="C5" i="3"/>
  <c r="C6" i="3"/>
  <c r="C7" i="3"/>
  <c r="C8" i="3"/>
  <c r="C9" i="3"/>
  <c r="C10" i="3"/>
  <c r="C11" i="3"/>
  <c r="C12" i="3"/>
  <c r="C13" i="3"/>
  <c r="C14" i="3"/>
  <c r="C15" i="3"/>
  <c r="C16" i="3"/>
  <c r="C17" i="3"/>
  <c r="C18" i="3"/>
  <c r="C19" i="3"/>
  <c r="C20" i="3"/>
  <c r="C21" i="3"/>
  <c r="C22" i="3"/>
  <c r="C23" i="3"/>
  <c r="C24" i="3"/>
  <c r="C25" i="3"/>
  <c r="C26" i="3"/>
  <c r="C27" i="3"/>
  <c r="C28" i="3"/>
  <c r="C29" i="3"/>
  <c r="C30" i="3"/>
  <c r="C31" i="3"/>
  <c r="C32" i="3"/>
  <c r="C33" i="3"/>
  <c r="C34" i="3"/>
  <c r="C35" i="3"/>
  <c r="C36" i="3"/>
  <c r="C37" i="3"/>
  <c r="C38" i="3"/>
  <c r="C39" i="3"/>
  <c r="C40" i="3"/>
  <c r="C41" i="3"/>
  <c r="C42" i="3"/>
  <c r="C43" i="3"/>
  <c r="C44" i="3"/>
  <c r="C45" i="3"/>
  <c r="C46" i="3"/>
  <c r="C47" i="3"/>
  <c r="C48" i="3"/>
  <c r="C49" i="3"/>
  <c r="C50" i="3"/>
  <c r="C51" i="3"/>
  <c r="C52" i="3"/>
  <c r="C53" i="3"/>
  <c r="C54" i="3"/>
  <c r="C55" i="3"/>
  <c r="C56" i="3"/>
  <c r="C57" i="3"/>
  <c r="C58" i="3"/>
  <c r="C59" i="3"/>
  <c r="C60" i="3"/>
  <c r="C61" i="3"/>
  <c r="C62" i="3"/>
  <c r="C63" i="3"/>
  <c r="C64" i="3"/>
  <c r="C65" i="3"/>
  <c r="C2" i="3"/>
  <c r="D36" i="1"/>
  <c r="D37" i="1"/>
  <c r="L27" i="1"/>
  <c r="C27" i="1"/>
  <c r="A64" i="3"/>
  <c r="B64" i="3"/>
  <c r="A65" i="3"/>
  <c r="B65" i="3"/>
  <c r="H40" i="1"/>
  <c r="D63" i="1"/>
  <c r="C63" i="1"/>
  <c r="D62" i="1"/>
  <c r="C62" i="1"/>
  <c r="L41" i="1"/>
  <c r="M41" i="1"/>
  <c r="M40" i="1"/>
  <c r="L40" i="1"/>
  <c r="H41" i="1"/>
  <c r="H37" i="1"/>
  <c r="H36" i="1"/>
  <c r="J37" i="1"/>
  <c r="J36" i="1"/>
  <c r="L31" i="1"/>
  <c r="L30" i="1"/>
  <c r="L26" i="1"/>
  <c r="C26" i="1"/>
  <c r="H59" i="1"/>
  <c r="H58" i="1"/>
  <c r="H57" i="1"/>
  <c r="H56" i="1"/>
  <c r="C5" i="1" l="1"/>
  <c r="D5" i="1"/>
  <c r="D4" i="1"/>
  <c r="C4" i="1"/>
  <c r="G59" i="1" l="1"/>
  <c r="G58" i="1"/>
  <c r="G11" i="1"/>
  <c r="G10" i="1"/>
  <c r="A2" i="3"/>
  <c r="A3" i="3"/>
  <c r="A4" i="3"/>
  <c r="A5" i="3"/>
  <c r="A6" i="3"/>
  <c r="A7" i="3"/>
  <c r="A8" i="3"/>
  <c r="A9" i="3"/>
  <c r="A10" i="3"/>
  <c r="A11" i="3"/>
  <c r="A12" i="3"/>
  <c r="A13" i="3"/>
  <c r="A14" i="3"/>
  <c r="A15" i="3"/>
  <c r="A16" i="3"/>
  <c r="A17" i="3"/>
  <c r="A18" i="3"/>
  <c r="A19" i="3"/>
  <c r="A20" i="3"/>
  <c r="A21" i="3"/>
  <c r="A22" i="3"/>
  <c r="A23" i="3"/>
  <c r="A24" i="3"/>
  <c r="A25" i="3"/>
  <c r="A26" i="3"/>
  <c r="A27" i="3"/>
  <c r="A28" i="3"/>
  <c r="A29" i="3"/>
  <c r="A30" i="3"/>
  <c r="A31" i="3"/>
  <c r="A32" i="3"/>
  <c r="A33" i="3"/>
  <c r="A34" i="3"/>
  <c r="A35" i="3"/>
  <c r="A36" i="3"/>
  <c r="A37" i="3"/>
  <c r="A38" i="3"/>
  <c r="A39" i="3"/>
  <c r="A40" i="3"/>
  <c r="A41" i="3"/>
  <c r="A42" i="3"/>
  <c r="A43" i="3"/>
  <c r="A44" i="3"/>
  <c r="A45" i="3"/>
  <c r="A46" i="3"/>
  <c r="A47" i="3"/>
  <c r="A48" i="3"/>
  <c r="A49" i="3"/>
  <c r="A50" i="3"/>
  <c r="A51" i="3"/>
  <c r="A52" i="3"/>
  <c r="A53" i="3"/>
  <c r="A54" i="3"/>
  <c r="A55" i="3"/>
  <c r="A56" i="3"/>
  <c r="A57" i="3"/>
  <c r="A58" i="3"/>
  <c r="A59" i="3"/>
  <c r="A60" i="3"/>
  <c r="A61" i="3"/>
  <c r="A62" i="3"/>
  <c r="A63" i="3"/>
  <c r="B3" i="3"/>
  <c r="B4" i="3"/>
  <c r="B5" i="3"/>
  <c r="B6" i="3"/>
  <c r="B7" i="3"/>
  <c r="B8" i="3"/>
  <c r="B9" i="3"/>
  <c r="B10" i="3"/>
  <c r="B11" i="3"/>
  <c r="B12" i="3"/>
  <c r="B13" i="3"/>
  <c r="B14" i="3"/>
  <c r="B15" i="3"/>
  <c r="B16" i="3"/>
  <c r="B17" i="3"/>
  <c r="B18" i="3"/>
  <c r="B19" i="3"/>
  <c r="B20" i="3"/>
  <c r="B21" i="3"/>
  <c r="B22" i="3"/>
  <c r="B23" i="3"/>
  <c r="B24" i="3"/>
  <c r="B25" i="3"/>
  <c r="B26" i="3"/>
  <c r="B27" i="3"/>
  <c r="B28" i="3"/>
  <c r="B29" i="3"/>
  <c r="B30" i="3"/>
  <c r="B31" i="3"/>
  <c r="B32" i="3"/>
  <c r="B33" i="3"/>
  <c r="B34" i="3"/>
  <c r="B35" i="3"/>
  <c r="B36" i="3"/>
  <c r="B37" i="3"/>
  <c r="B38" i="3"/>
  <c r="B39" i="3"/>
  <c r="B40" i="3"/>
  <c r="B41" i="3"/>
  <c r="B42" i="3"/>
  <c r="B43" i="3"/>
  <c r="B44" i="3"/>
  <c r="B45" i="3"/>
  <c r="B46" i="3"/>
  <c r="B47" i="3"/>
  <c r="B48" i="3"/>
  <c r="B49" i="3"/>
  <c r="B50" i="3"/>
  <c r="B51" i="3"/>
  <c r="B52" i="3"/>
  <c r="B53" i="3"/>
  <c r="B54" i="3"/>
  <c r="B55" i="3"/>
  <c r="B56" i="3"/>
  <c r="B57" i="3"/>
  <c r="B58" i="3"/>
  <c r="B59" i="3"/>
  <c r="B60" i="3"/>
  <c r="B61" i="3"/>
  <c r="B62" i="3"/>
  <c r="B63" i="3"/>
  <c r="B2"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tc={81434241-78AD-4B3A-9F90-EDCC3E1FDDF1}</author>
    <author>tc={BC2775AE-F7BC-41FE-87E9-7D2917EC127C}</author>
    <author>tc={26BCBB34-B0F5-45AA-BEAE-3E541ED425E9}</author>
    <author>tc={A84FB54D-EC47-4975-B087-A2C5AD5E29CA}</author>
    <author>tc={EAEB22C7-1FE8-4935-873C-3973CE40B826}</author>
    <author>tc={12AED177-1916-4E15-8129-FE68F298A24E}</author>
    <author>tc={1D99EF52-DBC2-4422-BD5A-3ECCBF43FE1B}</author>
    <author>tc={7AF66630-0F11-46E5-B92D-3F675921BB97}</author>
    <author>tc={352BDA07-1219-4271-B964-2576FC1327C3}</author>
    <author>tc={FA4DF42C-38AC-4CDF-B395-58F7F29134A1}</author>
    <author>tc={A2457545-E7C1-4F17-AFBE-B1783A6536C1}</author>
    <author>tc={F25826FC-AFA3-4118-9992-6CE07EE4C01F}</author>
    <author>tc={8BA7F6A2-06F8-4AF7-B944-75FC98436966}</author>
    <author>tc={70A0F264-D1AD-4C66-B5E5-6404C10064CA}</author>
    <author>tc={BF48C75C-E482-4C76-8EB5-F761F9353FFE}</author>
    <author>tc={E532A96F-DB7C-4E34-A58D-0AF2B12773A8}</author>
    <author>tc={15607743-7E34-4E57-9D57-2A1A282797BE}</author>
    <author>tc={8A5F29BA-71E3-4F80-8500-A3F7C9C059F8}</author>
    <author>tc={50A3938C-0BE4-4AF5-98F5-CB7DAB24807D}</author>
    <author>tc={110C77C0-12F0-4BB0-8D7C-4C6A7E5DE15B}</author>
    <author>tc={CF615B6D-56BF-4664-95DE-102A3EED3387}</author>
    <author>tc={58AC5F66-888F-4F1E-9B30-881E7CC81CD1}</author>
    <author>tc={B1CB05E9-F439-46CF-BCD6-B6FA34BEEAD3}</author>
    <author>tc={40614DCC-CC1C-4343-9716-8E5CB097558D}</author>
    <author>tc={BA5F043F-F309-4A91-98A2-476A8E82BCAF}</author>
    <author>tc={8F50F181-E41E-4B3E-BF7E-1A0F120A40D1}</author>
    <author>tc={A5FC83E4-F1DE-40F2-9E27-C40312A3D664}</author>
    <author>tc={AFF3DB26-99F8-421B-A976-9B4F7D250A8B}</author>
    <author>tc={AF1E83E6-8CA1-424C-ADE7-7FA1E3883CCC}</author>
    <author>tc={A21D6150-9406-442D-A898-FDADABD02CC2}</author>
    <author>tc={025E927D-73B5-4B61-981A-B05C551EBBED}</author>
    <author>tc={36DA9327-736C-470F-958F-A5EBDDEA0EC8}</author>
    <author>tc={E2E8AA1F-BEED-406D-BB8B-892A82B7E0A2}</author>
    <author>tc={9650A701-AD36-4E1C-9285-007AA2B19B36}</author>
    <author>tc={643D824F-23D9-4C10-A60E-E59199B91198}</author>
    <author>tc={75C40193-7C74-48AD-A50D-264965FAA00C}</author>
    <author>tc={50DD29BC-2D82-468D-8B7F-95ECCBEC3F97}</author>
    <author>tc={C8593E3D-F3E3-40EE-A769-34E84266B294}</author>
    <author>tc={4E536934-F078-4D27-A855-6841539641D2}</author>
    <author>tc={50720A26-70D3-48B0-9DFB-97B5B5F82D7C}</author>
    <author>tc={75AACADC-9AEA-4D8E-859F-12525A237DEB}</author>
    <author>tc={BEBA07F2-D2C4-42E6-9FF4-C4E4449DF66B}</author>
    <author>tc={218B3321-DCA6-4E20-92E7-F00D1AC4352E}</author>
    <author>tc={EB3D31AC-4EAC-483E-88E7-B1595BF0DE32}</author>
    <author>tc={66E6D8AB-10ED-49B2-9447-586B052000F5}</author>
    <author>tc={1F71B14A-9A69-41CE-91F3-4C0B4E0370C5}</author>
    <author>tc={C348D8E4-B9E7-4911-9F4B-7E99519476C1}</author>
    <author>tc={73D9F05C-5BAD-466B-A5F1-449ED5E1F3E9}</author>
    <author>tc={0A7263FF-5C10-4E77-BFCC-992D78D79DD7}</author>
    <author>tc={9CA406A8-FA90-42C5-97DB-E1B8FE3BF088}</author>
    <author>tc={30B38F9B-599C-459B-9FBC-0642F72CDBD8}</author>
    <author>tc={BFD761C4-F0CF-42B9-B629-CB5350FE993F}</author>
    <author>tc={2ADEB5A5-C7C1-4354-A167-9E6C5EF617AE}</author>
    <author>tc={AB6D3F7C-8228-43C6-9FE9-BE23F8D40107}</author>
    <author>tc={FBB9B97D-1C73-4429-8995-7541252101C6}</author>
    <author>tc={71901500-B559-4098-A6C3-9A3C0C931F2F}</author>
    <author>tc={001CA03E-A646-4C0C-90C6-A3BA3B978C4C}</author>
    <author>tc={2B93D5A1-B1A1-40F8-B62C-664CA05966A2}</author>
    <author>tc={C67FA980-3900-4FF1-A20B-78355C827C5C}</author>
    <author>tc={21B4EF06-40BB-427E-A546-4558E8FB26E0}</author>
    <author>tc={27DE668E-3ECA-440C-B98D-0BDE5C64A951}</author>
    <author>tc={6A6C1EF6-88E7-4022-A0AA-CAD962CBC127}</author>
    <author>tc={5019478A-1ED1-4E8C-8575-86F454AD757C}</author>
    <author>tc={02F6E3E2-79B9-4A30-AF21-A16A33EE26A9}</author>
    <author>tc={6A96A72F-44F2-4EC3-8D56-07F615AA5DB2}</author>
    <author>tc={3C52A7C6-D2E8-48BD-B390-1EDB00531035}</author>
    <author>tc={EDF400A9-3CBC-4F9E-8EEE-D0B3664FEB97}</author>
    <author>tc={C0DA00D3-12F5-40CB-B616-BD73D29E5EBA}</author>
    <author>tc={62416910-625E-4E7D-BBEE-68C5BE5EF3EF}</author>
    <author>tc={FD837BAF-B10D-4668-8EA1-3F8F49DF244F}</author>
    <author>tc={C09412F0-3137-46E8-BE10-0E15CC43944B}</author>
    <author>tc={6BDEA038-915B-4090-86E3-69668EA55784}</author>
    <author>tc={5686F4C8-681E-45A1-B172-E539FA787D5F}</author>
    <author>tc={FFA1B7A9-82A2-4499-8F0C-3E333754D782}</author>
    <author>tc={E84B2078-15C0-49D7-877C-30D0477CF2A5}</author>
    <author>tc={EB640590-032A-4379-8AF6-B5E2D265FE2B}</author>
    <author>tc={530D5002-9BA2-4D46-AA1A-F95C06854013}</author>
    <author>tc={A612EEF7-0919-4D9B-BC87-9054C053727F}</author>
    <author>tc={ABBF64E1-F577-45FF-978E-7F9A0FBDD1F1}</author>
    <author>tc={71328BF1-FBB5-475D-813B-E83E0A54CE65}</author>
    <author>tc={C2CD5D24-3117-4B50-9150-2BD8E21B28A4}</author>
    <author>tc={F1C9CB77-8B35-47CF-9A12-D9219ADCD9C4}</author>
    <author>tc={D8C32512-D44D-4DC6-BA1D-77B77DDAA81D}</author>
    <author>tc={697F5FAF-9231-4636-9FE9-B85EE48DBD86}</author>
    <author>tc={33DC931D-77A9-4F04-8C94-266E78D5719A}</author>
    <author>tc={B3DDA51F-1C6C-423B-83C7-47AA81A4EBB1}</author>
    <author>tc={CE06F4C4-EBDA-471F-906B-813852AA4283}</author>
    <author>tc={13E00CC3-0E9B-45FE-8500-0781366A111F}</author>
    <author>tc={E6FC6814-D268-499B-AF43-5701F86E505C}</author>
    <author>tc={C3F317AF-40CD-4EA5-A9C9-F8A837CCFCC6}</author>
    <author>tc={0BCD3CBD-143B-422A-84FD-4829A84E1E91}</author>
    <author>tc={8D982770-3DF1-4BF4-B649-B03E96E88AB4}</author>
    <author>tc={F8C880E3-80BE-491F-AB0D-74980ABDAC73}</author>
    <author>tc={CC999FB3-108A-44C0-81A1-A3399C19826C}</author>
    <author>tc={3DF71DB5-F7AF-48A4-AFF1-6C93B8E3508B}</author>
    <author>tc={68D56D2A-80D9-479A-A635-8C973891022A}</author>
    <author>tc={B45EE76D-C580-4F76-9D08-63B4241C31E1}</author>
    <author>tc={1A6DECB3-96A0-4EED-8737-CC310860E246}</author>
    <author>tc={B06CAE8D-222A-4F57-BCFE-F9D1D5EFA107}</author>
    <author>tc={F5E79687-F8CA-4D05-8427-8749461D761F}</author>
    <author>tc={A064644F-F211-4168-8DC6-0FC611B05D36}</author>
    <author>tc={0614F586-84EC-4FE8-99E4-7EDCBDD03807}</author>
    <author>tc={F292AF33-00C1-4ADE-AD2E-C60B9559788A}</author>
    <author>tc={A080EED5-3C47-4563-9130-06B8A7423593}</author>
    <author>tc={F6FB371F-A7B9-4ED7-AE61-46CB6725293E}</author>
    <author>tc={FAE1C2FC-ED53-49D5-A022-31AD6E07A711}</author>
    <author>tc={F70581DF-8EE1-45B4-9557-5EBE06D8D579}</author>
    <author>tc={62BF7804-1960-4BD4-B520-0F84D57CA1F2}</author>
    <author>tc={D11D5FBF-33C0-45B0-9D1E-2CB45CDAB78E}</author>
    <author>tc={762BF30A-67D7-4F7C-ACF4-517E9E45A50B}</author>
    <author>tc={38745A2B-FAEF-4A55-BE52-F2DCE990958E}</author>
    <author>tc={1423E1A8-23D4-444B-BA46-7F7AE1719BC4}</author>
    <author>tc={DAF37FF7-6090-46AE-852B-5917ECC76E34}</author>
    <author>tc={0DA78E76-FBE1-4165-BDCC-3E2B60271EB2}</author>
    <author>tc={D7FD7CF9-2938-42A4-B020-A0E631FF0789}</author>
    <author>tc={518450BD-7FF4-4C45-88F8-6381FED4D837}</author>
    <author>tc={7CD06502-576F-494A-A930-CF8D4871B07D}</author>
    <author>tc={4E87243F-A485-4E26-92C7-C8F67ED6064C}</author>
    <author>tc={DD979372-2D05-43DD-9168-D28EB67F320B}</author>
    <author>tc={B78E6270-09B9-44A0-B768-DC5102EA22E6}</author>
    <author>tc={05B9C969-5D03-455B-9229-605612F5146E}</author>
    <author>tc={3E6C851E-F4A7-439E-A73B-96F6109C175F}</author>
    <author>tc={872D4B18-7023-4240-A5EF-A959A736F328}</author>
    <author>tc={007B3996-314D-452C-B4F3-E481D9FDAD0F}</author>
    <author>tc={9BE787FA-FABB-4555-9A16-DA7946402D8E}</author>
    <author>tc={EDBA5C28-D5E5-4D50-923D-C7285B45AA82}</author>
    <author>tc={877D5D86-1DE8-47A7-8742-C5FA70EA2A8C}</author>
    <author>tc={EF9B3627-965F-4FC8-8C27-7D9A5BDD0EBE}</author>
    <author>tc={5E38C287-F962-48AA-A3AB-BB9BA09D76D5}</author>
    <author>tc={7C81F5BE-832E-4E9C-A845-E1E6EFAD6B76}</author>
    <author>tc={7972CAF5-7ED3-4839-9995-6CE31AF68F31}</author>
    <author>tc={A9892ACD-DCE1-4940-B802-55CB8FC9568E}</author>
    <author>tc={42069E5E-F154-4351-8096-F38733A3B982}</author>
    <author>tc={5D568205-189D-4C0F-A354-E60E1A2A5A86}</author>
    <author>tc={AD5D1C4F-1CFC-4800-9EFD-B8CB110F8244}</author>
    <author>tc={B6136E31-C634-4C1A-BE39-9AAB2E25F46C}</author>
    <author>tc={6FBBF41C-D847-4342-A95A-19064F450934}</author>
    <author>tc={7AD2EC57-6BF2-4625-AD52-61BC11BD12EC}</author>
    <author>tc={13A65F1B-6A2C-4B7F-A11C-A280FFFBAA6C}</author>
    <author>tc={17698F76-DEB4-457F-81C4-43E65E84D220}</author>
    <author>tc={1CED607C-2EAE-4BEA-B846-68A2D65A994E}</author>
    <author>tc={4B11B66B-88C7-439B-99D7-B881793F9AF7}</author>
    <author>tc={18FDF8B2-540C-4B49-BB41-02BDF27CEEDC}</author>
    <author>tc={3B3B0576-28B0-4929-BA62-30483F7A9B56}</author>
    <author>tc={380FE5CE-6AEC-4F52-B198-4EC85255083F}</author>
    <author>tc={F9D460E1-AA92-4B9D-BE1E-D7CC57E0A69C}</author>
    <author>tc={EED2CA4C-0C69-427A-A3BB-1CC5891561A8}</author>
    <author>tc={119B9A2D-7977-44E0-95EE-EAD2F5C3E217}</author>
    <author>tc={7747A789-49B5-48F9-BDF1-26861AF7B031}</author>
    <author>tc={DA1A4F0E-4897-434F-97C4-7297B800375D}</author>
    <author>tc={D7878C6C-5289-44F0-95A5-85FC71FED5C2}</author>
    <author>tc={0C873E3E-FF38-43F9-AA7C-7295B4A625FB}</author>
    <author>tc={B2E4E807-F2C6-4018-AE3A-686458004D8E}</author>
    <author>tc={E20AC9CF-BC4D-4FB9-A5E4-FF03C0E62B5C}</author>
    <author>tc={56874849-E142-4ED0-95B0-C947C90100A1}</author>
    <author>tc={04EC6085-0596-42B4-BFC1-AE08069E68DB}</author>
    <author>tc={BA615197-5E65-4B20-9B79-541DFAA2B3DF}</author>
    <author>tc={7E7B581F-9736-4AAE-BD51-18FBF6CA2264}</author>
    <author>tc={BD9A823B-D7CB-41D4-B29C-81606CFE2F05}</author>
    <author>tc={E8D31F90-D98E-4871-B84B-84652C9B4B77}</author>
    <author>tc={32289A4A-907F-4E4E-86F8-47ECFE767A90}</author>
    <author>tc={FCDECC75-B1F8-4726-A70E-69DE986EC24C}</author>
    <author>tc={246CF1DC-0F83-41F7-A834-CF3521B8BE97}</author>
    <author>tc={6A39F240-4180-459A-91B3-C953BC615AE3}</author>
    <author>tc={92200F7B-3013-4386-B877-2312CF7DAADB}</author>
    <author>tc={0A01FA67-4C20-460A-A232-0AC78CE742F5}</author>
    <author>tc={D58F42BD-8B0A-46AE-A81D-9DA852F58E20}</author>
    <author>tc={DFBC56CD-EEF5-495A-B4F6-B584896D563E}</author>
    <author>tc={9186BA40-AEFE-4CEE-8644-DEC15BAEB1AA}</author>
    <author>tc={CCA94DD0-EE1C-435A-A0EB-64B909541B3C}</author>
    <author>tc={E9EAC069-A54F-4E15-A19F-699042750F3B}</author>
    <author>tc={5E942F32-D5C7-449A-B512-C4038A528958}</author>
    <author>tc={C621F8CA-C8B2-4D6D-B7A7-DE59A29A7FC6}</author>
    <author>tc={958F0854-FFD4-475F-B85C-98B4E50A5E99}</author>
    <author>tc={1B3323A8-4447-4B46-A207-C3CF5E7BFEBF}</author>
    <author>tc={4599AC2C-6074-46C8-9C38-0FDDF278F763}</author>
    <author>tc={56AD02EE-4EDA-4034-A01C-0ECD2C7985AF}</author>
    <author>tc={05B505F5-9D54-4978-A4EF-2AA6D8AAEA14}</author>
    <author>tc={8E95EDAD-C1F6-4FE3-B918-860F43C9668D}</author>
    <author>tc={01A63EFA-2F34-403F-AD84-017AE294B0A8}</author>
    <author>tc={2F167BE8-6813-44AF-A66E-C2F2ECD2BF28}</author>
    <author>tc={994D1F31-8201-4078-A9A3-35D8149BABB3}</author>
    <author>tc={F4DC88A2-76E0-49EC-818B-705DB2795CBB}</author>
    <author>tc={4BF33756-FD24-42A9-BD08-9327AE6FD860}</author>
    <author>tc={B9AD38DF-1AA6-4AB0-926B-CF368BC396CE}</author>
    <author>tc={C8F38497-BFAF-4BF5-A5BE-2780BA0B65BE}</author>
    <author>tc={C4CD51F9-5478-40A1-80A4-A2579CAEC430}</author>
    <author>tc={AF974650-2A47-4700-B56B-2B5452A31121}</author>
    <author>tc={C7259605-5B30-4476-BE36-19C524CBFC9F}</author>
    <author>tc={8B1E0DB7-4C65-4BED-A1E6-BA9301AF9137}</author>
    <author>tc={A5EE8FD0-E6DE-4615-904D-089000778CEF}</author>
    <author>tc={E61EAA45-81CE-4D0A-86BB-EBA33D19BF05}</author>
    <author>tc={82054389-2F96-49D8-A29F-B04B22B1E815}</author>
    <author>tc={147FE4D3-ECF0-4DFE-9517-34FA260857BD}</author>
    <author>tc={5A766BA0-83F6-46E3-91BF-FFBEF6291018}</author>
    <author>tc={D822313A-E88B-4536-80F3-79EEA72810EC}</author>
    <author>tc={0D278FAD-6810-4133-9ECC-A7DC71CE4158}</author>
    <author>tc={C1C48313-8D69-4EA4-8C8F-176E0AB6CE5A}</author>
    <author>tc={F1070CFF-F0CA-4877-AFBC-501694523EEC}</author>
    <author>tc={67D64D10-D865-4AF3-850E-4524C6A5ED03}</author>
    <author>tc={86DC06B2-31F4-4629-A5AD-D51AF744102B}</author>
    <author>tc={ABF680EF-3634-4220-9D0B-ED0235DC0110}</author>
    <author>tc={9157755E-C2E5-461A-8766-EDC0CFD3CD29}</author>
    <author>tc={9375D386-88BA-4829-B090-C91521A866CE}</author>
    <author>tc={4FB1AA71-120E-4E72-A655-7CFC22128A11}</author>
    <author>tc={C533CA02-5666-42FA-9D7B-2DCB801CACB1}</author>
    <author>tc={ACA27B43-EFB1-4FD8-950B-437D54411EB3}</author>
    <author>tc={4E9BF36A-31A2-4E3D-AEB7-5FED5FFCA9B3}</author>
    <author>tc={CC358C68-8A92-448D-BEB5-092D2D8C483F}</author>
    <author>tc={85CD0906-D8AC-4F8D-891E-99E7DEBC5632}</author>
    <author>tc={BACCF0B2-08BA-47E9-A713-6E1EA5450B52}</author>
    <author>tc={1E727657-2AC6-476B-BA78-D26D0D2D83CA}</author>
    <author>tc={E5B5F6AE-DA0E-472D-9229-5174271631A7}</author>
    <author>tc={A0CAD935-777C-4917-A984-6394E674CF70}</author>
  </authors>
  <commentList>
    <comment ref="C4" authorId="0" shapeId="0" xr:uid="{81434241-78AD-4B3A-9F90-EDCC3E1FDDF1}">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https://ars.els-cdn.com/content/image/1-s2.0-S0196890424003674-mmc1.pdf
Table 5S
</t>
      </text>
    </comment>
    <comment ref="D4" authorId="1" shapeId="0" xr:uid="{BC2775AE-F7BC-41FE-87E9-7D2917EC127C}">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https://ars.els-cdn.com/content/image/1-s2.0-S0196890424003674-mmc1.pdf
Table 5S
</t>
      </text>
    </comment>
    <comment ref="F4" authorId="2" shapeId="0" xr:uid="{26BCBB34-B0F5-45AA-BEAE-3E541ED425E9}">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https://ars.els-cdn.com/content/image/1-s2.0-S0196890424003674-mmc1.pdf
Table 5S</t>
      </text>
    </comment>
    <comment ref="H4" authorId="3" shapeId="0" xr:uid="{A84FB54D-EC47-4975-B087-A2C5AD5E29CA}">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Numbers from 
https://www.energy-storage.news/behind-the-numbers-bnef-finds-40-year-on-year-drop-in-bess-costs/
Ratio between storage and power capacity from 
https://ars.els-cdn.com/content/image/1-s2.0-S0196890424003674-mmc1.pdf
Table 5S
Assuming a learning rate of ⅓ per 10 years.
Additionally, BESS are expected to earn a significant share of their revenue from other sources out of the scope of this project, i.e. the investment costs have been halfed to reflect that.</t>
      </text>
    </comment>
    <comment ref="J4" authorId="4" shapeId="0" xr:uid="{EAEB22C7-1FE8-4935-873C-3973CE40B826}">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Numbers from 
https://www.energy-storage.news/behind-the-numbers-bnef-finds-40-year-on-year-drop-in-bess-costs/
Ratio between storage and power capacity from 
https://ars.els-cdn.com/content/image/1-s2.0-S0196890424003674-mmc1.pdf
Table 5S
Assuming a learning rate of ⅓ per 10 years.
Additionally, BESS are expected to earn a significant share of their revenue from other sources out of the scope of this project, i.e. the investment costs have been halfed to reflect that.
</t>
      </text>
    </comment>
    <comment ref="L4" authorId="5" shapeId="0" xr:uid="{12AED177-1916-4E15-8129-FE68F298A24E}">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To avoid simultaneous charging and discharging as curtailment replacement</t>
      </text>
    </comment>
    <comment ref="M4" authorId="6" shapeId="0" xr:uid="{1D99EF52-DBC2-4422-BD5A-3ECCBF43FE1B}">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https://ars.els-cdn.com/content/image/1-s2.0-S0196890424003674-mmc1.pdf
Table 5S</t>
      </text>
    </comment>
    <comment ref="C5" authorId="7" shapeId="0" xr:uid="{7AF66630-0F11-46E5-B92D-3F675921BB97}">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https://ars.els-cdn.com/content/image/1-s2.0-S0196890424003674-mmc1.pdf
Table 5S
</t>
      </text>
    </comment>
    <comment ref="D5" authorId="8" shapeId="0" xr:uid="{352BDA07-1219-4271-B964-2576FC1327C3}">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https://ars.els-cdn.com/content/image/1-s2.0-S0196890424003674-mmc1.pdf
Table 5S
</t>
      </text>
    </comment>
    <comment ref="F5" authorId="9" shapeId="0" xr:uid="{FA4DF42C-38AC-4CDF-B395-58F7F29134A1}">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https://ars.els-cdn.com/content/image/1-s2.0-S0196890424003674-mmc1.pdf
Table 5S
</t>
      </text>
    </comment>
    <comment ref="H5" authorId="10" shapeId="0" xr:uid="{A2457545-E7C1-4F17-AFBE-B1783A6536C1}">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Numbers from 
https://www.energy-storage.news/behind-the-numbers-bnef-finds-40-year-on-year-drop-in-bess-costs/
Ratio between storage and power capacity from 
https://ars.els-cdn.com/content/image/1-s2.0-S0196890424003674-mmc1.pdf
Table 5S
Assuming a learning rate of ⅓ per 10 years.
Additionally, BESS are expected to earn a significant share of their revenue from other sources out of the scope of this project, i.e. the investment costs have been halfed to reflect that.
</t>
      </text>
    </comment>
    <comment ref="J5" authorId="11" shapeId="0" xr:uid="{F25826FC-AFA3-4118-9992-6CE07EE4C01F}">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Numbers from 
https://www.energy-storage.news/behind-the-numbers-bnef-finds-40-year-on-year-drop-in-bess-costs/
Ratio between storage and power capacity from 
https://ars.els-cdn.com/content/image/1-s2.0-S0196890424003674-mmc1.pdf
Table 5S
Assuming a learning rate of ⅓ per 10 years.
Additionally, BESS are expected to earn a significant share of their revenue from other sources out of the scope of this project, i.e. the investment costs have been halfed to reflect that.
</t>
      </text>
    </comment>
    <comment ref="L5" authorId="12" shapeId="0" xr:uid="{8BA7F6A2-06F8-4AF7-B944-75FC98436966}">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To avoid simultaneous charging and discharging as curtailment replacement</t>
      </text>
    </comment>
    <comment ref="M5" authorId="13" shapeId="0" xr:uid="{70A0F264-D1AD-4C66-B5E5-6404C10064CA}">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https://ars.els-cdn.com/content/image/1-s2.0-S0196890424003674-mmc1.pdf
Table 5S</t>
      </text>
    </comment>
    <comment ref="C6" authorId="14" shapeId="0" xr:uid="{BF48C75C-E482-4C76-8EB5-F761F9353FFE}">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https://sweet-cross.ch/data/technology-assumptions-models/2023-02-28/
In Nexuse_ETHZ_technologies.csv (10 kB) </t>
      </text>
    </comment>
    <comment ref="G6" authorId="15" shapeId="0" xr:uid="{E532A96F-DB7C-4E34-A58D-0AF2B12773A8}">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https://www.bfe.admin.ch/bfe/en/home/policy/energy-perspectives-2050-plus.html/
Table 7 „feste Biomasse“</t>
      </text>
    </comment>
    <comment ref="C7" authorId="16" shapeId="0" xr:uid="{15607743-7E34-4E57-9D57-2A1A282797BE}">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https://sweet-cross.ch/data/technology-assumptions-models/2023-02-28/
In Nexuse_ETHZ_technologies.csv (10 kB) </t>
      </text>
    </comment>
    <comment ref="G7" authorId="17" shapeId="0" xr:uid="{8A5F29BA-71E3-4F80-8500-A3F7C9C059F8}">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https://www.bfe.admin.ch/bfe/en/home/policy/energy-perspectives-2050-plus.html/
Table 7 „feste Biomasse“
</t>
      </text>
    </comment>
    <comment ref="C8" authorId="18" shapeId="0" xr:uid="{50A3938C-0BE4-4AF5-98F5-CB7DAB24807D}">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https://ars.els-cdn.com/content/image/1-s2.0-S0196890424003674-mmc1.pdf
Table 4S</t>
      </text>
    </comment>
    <comment ref="E8" authorId="19" shapeId="0" xr:uid="{110C77C0-12F0-4BB0-8D7C-4C6A7E5DE15B}">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https://www.kbob.admin.ch/dam/de/sd-web/Ov7IumBLw3iS/20230116_Faktenblatt_CO2-Emissionsfaktoren_04-2024_DE.pdf
Table 2, 2023 value transformed to t/MWh
Assuming a carbon capture rate of 90%</t>
      </text>
    </comment>
    <comment ref="F8" authorId="20" shapeId="0" xr:uid="{CF615B6D-56BF-4664-95DE-102A3EED3387}">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https://ars.els-cdn.com/content/image/1-s2.0-S0196890424003674-mmc1.pdf
Table 4S</t>
      </text>
    </comment>
    <comment ref="G8" authorId="21" shapeId="0" xr:uid="{58AC5F66-888F-4F1E-9B30-881E7CC81CD1}">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Same as gas</t>
      </text>
    </comment>
    <comment ref="H8" authorId="22" shapeId="0" xr:uid="{B1CB05E9-F439-46CF-BCD6-B6FA34BEEAD3}">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https://ars.els-cdn.com/content/image/1-s2.0-S0196890424003674-mmc1.pdf
Table 4S
</t>
      </text>
    </comment>
    <comment ref="L8" authorId="23" shapeId="0" xr:uid="{40614DCC-CC1C-4343-9716-8E5CB097558D}">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https://ars.els-cdn.com/content/image/1-s2.0-S0196890424003674-mmc1.pdf
Table 4S
</t>
      </text>
    </comment>
    <comment ref="M8" authorId="24" shapeId="0" xr:uid="{BA5F043F-F309-4A91-98A2-476A8E82BCAF}">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https://ars.els-cdn.com/content/image/1-s2.0-S0196890424003674-mmc1.pdf
Table 4S</t>
      </text>
    </comment>
    <comment ref="C9" authorId="25" shapeId="0" xr:uid="{8F50F181-E41E-4B3E-BF7E-1A0F120A40D1}">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https://ars.els-cdn.com/content/image/1-s2.0-S0196890424003674-mmc1.pdf
Table 4S</t>
      </text>
    </comment>
    <comment ref="E9" authorId="26" shapeId="0" xr:uid="{A5FC83E4-F1DE-40F2-9E27-C40312A3D664}">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https://www.kbob.admin.ch/dam/de/sd-web/Ov7IumBLw3iS/20230116_Faktenblatt_CO2-Emissionsfaktoren_04-2024_DE.pdf
Table 2, 2023 value transformed to t/MWh
Assuming a carbon capture rate of 90%</t>
      </text>
    </comment>
    <comment ref="F9" authorId="27" shapeId="0" xr:uid="{AFF3DB26-99F8-421B-A976-9B4F7D250A8B}">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https://ars.els-cdn.com/content/image/1-s2.0-S0196890424003674-mmc1.pdf
Table 4S
</t>
      </text>
    </comment>
    <comment ref="G9" authorId="28" shapeId="0" xr:uid="{AF1E83E6-8CA1-424C-ADE7-7FA1E3883CCC}">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Same as gas</t>
      </text>
    </comment>
    <comment ref="H9" authorId="29" shapeId="0" xr:uid="{A21D6150-9406-442D-A898-FDADABD02CC2}">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https://ars.els-cdn.com/content/image/1-s2.0-S0196890424003674-mmc1.pdf
Table 4S
</t>
      </text>
    </comment>
    <comment ref="L9" authorId="30" shapeId="0" xr:uid="{025E927D-73B5-4B61-981A-B05C551EBBED}">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https://ars.els-cdn.com/content/image/1-s2.0-S0196890424003674-mmc1.pdf
Table 4S
</t>
      </text>
    </comment>
    <comment ref="M9" authorId="31" shapeId="0" xr:uid="{36DA9327-736C-470F-958F-A5EBDDEA0EC8}">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https://ars.els-cdn.com/content/image/1-s2.0-S0196890424003674-mmc1.pdf
Table 4S
</t>
      </text>
    </comment>
    <comment ref="C10" authorId="32" shapeId="0" xr:uid="{E2E8AA1F-BEED-406D-BB8B-892A82B7E0A2}">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https://ars.els-cdn.com/content/image/1-s2.0-S0196890424003674-mmc1.pdf
Table 4S</t>
      </text>
    </comment>
    <comment ref="F10" authorId="33" shapeId="0" xr:uid="{9650A701-AD36-4E1C-9285-007AA2B19B36}">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https://ars.els-cdn.com/content/image/1-s2.0-S0196890424003674-mmc1.pdf
Table 4S
</t>
      </text>
    </comment>
    <comment ref="G10" authorId="34" shapeId="0" xr:uid="{643D824F-23D9-4C10-A60E-E59199B91198}">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https://ars.els-cdn.com/content/image/1-s2.0-S0196890424003674-mmc1.pdf
Table 14S
55.0 * 3.6</t>
      </text>
    </comment>
    <comment ref="H10" authorId="35" shapeId="0" xr:uid="{75C40193-7C74-48AD-A50D-264965FAA00C}">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https://ars.els-cdn.com/content/image/1-s2.0-S0196890424003674-mmc1.pdf
Table 4S
</t>
      </text>
    </comment>
    <comment ref="L10" authorId="36" shapeId="0" xr:uid="{50DD29BC-2D82-468D-8B7F-95ECCBEC3F97}">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https://ars.els-cdn.com/content/image/1-s2.0-S0196890424003674-mmc1.pdf
Table 4S
</t>
      </text>
    </comment>
    <comment ref="M10" authorId="37" shapeId="0" xr:uid="{C8593E3D-F3E3-40EE-A769-34E84266B294}">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https://ars.els-cdn.com/content/image/1-s2.0-S0196890424003674-mmc1.pdf
Table 4S
</t>
      </text>
    </comment>
    <comment ref="C11" authorId="38" shapeId="0" xr:uid="{4E536934-F078-4D27-A855-6841539641D2}">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https://ars.els-cdn.com/content/image/1-s2.0-S0196890424003674-mmc1.pdf
Table 4S</t>
      </text>
    </comment>
    <comment ref="F11" authorId="39" shapeId="0" xr:uid="{50720A26-70D3-48B0-9DFB-97B5B5F82D7C}">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https://ars.els-cdn.com/content/image/1-s2.0-S0196890424003674-mmc1.pdf
Table 4S
</t>
      </text>
    </comment>
    <comment ref="G11" authorId="40" shapeId="0" xr:uid="{75AACADC-9AEA-4D8E-859F-12525A237DEB}">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https://ars.els-cdn.com/content/image/1-s2.0-S0196890424003674-mmc1.pdf
Table 14S
55.0 * 3.6
</t>
      </text>
    </comment>
    <comment ref="H11" authorId="41" shapeId="0" xr:uid="{BEBA07F2-D2C4-42E6-9FF4-C4E4449DF66B}">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https://ars.els-cdn.com/content/image/1-s2.0-S0196890424003674-mmc1.pdf
Table 4S
</t>
      </text>
    </comment>
    <comment ref="L11" authorId="42" shapeId="0" xr:uid="{218B3321-DCA6-4E20-92E7-F00D1AC4352E}">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https://ars.els-cdn.com/content/image/1-s2.0-S0196890424003674-mmc1.pdf
Table 4S
</t>
      </text>
    </comment>
    <comment ref="M11" authorId="43" shapeId="0" xr:uid="{EB3D31AC-4EAC-483E-88E7-B1595BF0DE32}">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https://ars.els-cdn.com/content/image/1-s2.0-S0196890424003674-mmc1.pdf
Table 4S
</t>
      </text>
    </comment>
    <comment ref="G12" authorId="44" shapeId="0" xr:uid="{66E6D8AB-10ED-49B2-9447-586B052000F5}">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https://www.bfe.admin.ch/bfe/en/home/policy/energy-perspectives-2050-plus.html/
Abbildung 11</t>
      </text>
    </comment>
    <comment ref="G13" authorId="45" shapeId="0" xr:uid="{1F71B14A-9A69-41CE-91F3-4C0B4E0370C5}">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https://www.bfe.admin.ch/bfe/en/home/policy/energy-perspectives-2050-plus.html/
Abbildung 11</t>
      </text>
    </comment>
    <comment ref="C14" authorId="46" shapeId="0" xr:uid="{C348D8E4-B9E7-4911-9F4B-7E99519476C1}">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Can be 1 because of how dams are modelled. Water fills the storage via natural inflows and the model turns it into electricity as needed.</t>
      </text>
    </comment>
    <comment ref="D14" authorId="47" shapeId="0" xr:uid="{73D9F05C-5BAD-466B-A5F1-449ED5E1F3E9}">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Irrelevant because there is no pumping. Water enters the reservoirs only via natural inflows.</t>
      </text>
    </comment>
    <comment ref="C15" authorId="48" shapeId="0" xr:uid="{0A7263FF-5C10-4E77-BFCC-992D78D79DD7}">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Can be 1 because of how dams are modelled. Water fills the storage via natural inflows and the model turns it into electricity as needed.
</t>
      </text>
    </comment>
    <comment ref="D15" authorId="49" shapeId="0" xr:uid="{9CA406A8-FA90-42C5-97DB-E1B8FE3BF088}">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Irrelevant because there is no pumping. Water enters the reservoirs only via natural inflows.
</t>
      </text>
    </comment>
    <comment ref="C20" authorId="50" shapeId="0" xr:uid="{30B38F9B-599C-459B-9FBC-0642F72CDBD8}">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Those are not investable electrolyzers in the sense of a Power-to-X-to-Power seasonal storage. (These are called hydrogen.) Those represent the plants that need to produce the targeted hydrogen quantitiy given in TYNDP 2022.</t>
      </text>
    </comment>
    <comment ref="C21" authorId="51" shapeId="0" xr:uid="{BFD761C4-F0CF-42B9-B629-CB5350FE993F}">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Those are not investable electrolyzers in the sense of a Power-to-X-to-Power seasonal storage. (These are called hydrogen.) Those represent the plants that need to produce the targeted hydrogen quantitiy given in TYNDP 2022.
</t>
      </text>
    </comment>
    <comment ref="K24" authorId="52" shapeId="0" xr:uid="{2ADEB5A5-C7C1-4354-A167-9E6C5EF617AE}">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http://doi.org/10.55402/psi:63482
Table 1</t>
      </text>
    </comment>
    <comment ref="K25" authorId="53" shapeId="0" xr:uid="{AB6D3F7C-8228-43C6-9FE9-BE23F8D40107}">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http://doi.org/10.55402/psi:63482
Table 1
</t>
      </text>
    </comment>
    <comment ref="C26" authorId="54" shapeId="0" xr:uid="{FBB9B97D-1C73-4429-8995-7541252101C6}">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Legacy plants in CH and all other gas fired plants in the rest of the nodes. Since this represents all other gas fired plants combined, the average of the other plants‘ efficiencies is considered.</t>
      </text>
    </comment>
    <comment ref="E26" authorId="55" shapeId="0" xr:uid="{71901500-B559-4098-A6C3-9A3C0C931F2F}">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https://www.kbob.admin.ch/dam/de/sd-web/Ov7IumBLw3iS/20230116_Faktenblatt_CO2-Emissionsfaktoren_04-2024_DE.pdf
Table 2, 2023 value transformed to t/MWh
Assuming a carbon capture rate of 90%</t>
      </text>
    </comment>
    <comment ref="G26" authorId="56" shapeId="0" xr:uid="{001CA03E-A646-4C0C-90C6-A3BA3B978C4C}">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https://www.bfe.admin.ch/bfe/en/home/policy/energy-perspectives-2050-plus.html/
Abbildung 11
</t>
      </text>
    </comment>
    <comment ref="L26" authorId="57" shapeId="0" xr:uid="{2B93D5A1-B1A1-40F8-B62C-664CA05966A2}">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Legacy plants in CH and all other gas fired plants in the rest of the nodes. Since this represents all other gas fired plants combined, the average of the other plants‘ efficiencies is considered.</t>
      </text>
    </comment>
    <comment ref="C27" authorId="58" shapeId="0" xr:uid="{C67FA980-3900-4FF1-A20B-78355C827C5C}">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Legacy plants in CH and all other gas fired plants in the rest of the nodes. Since this represents all other gas fired plants combined, the average of the other plants‘ efficiencies is considered.</t>
      </text>
    </comment>
    <comment ref="E27" authorId="59" shapeId="0" xr:uid="{21B4EF06-40BB-427E-A546-4558E8FB26E0}">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https://www.kbob.admin.ch/dam/de/sd-web/Ov7IumBLw3iS/20230116_Faktenblatt_CO2-Emissionsfaktoren_04-2024_DE.pdf
Table 2, 2023 value transformed to t/MWh
Assuming a carbon capture rate of 90%</t>
      </text>
    </comment>
    <comment ref="G27" authorId="60" shapeId="0" xr:uid="{27DE668E-3ECA-440C-B98D-0BDE5C64A951}">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https://www.bfe.admin.ch/bfe/en/home/policy/energy-perspectives-2050-plus.html/
Abbildung 11
</t>
      </text>
    </comment>
    <comment ref="L27" authorId="61" shapeId="0" xr:uid="{6A6C1EF6-88E7-4022-A0AA-CAD962CBC127}">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Legacy plants in CH and all other gas fired plants in the rest of the nodes. Since this represents all other gas fired plants combined, the average of the other plants‘ efficiencies is considered.</t>
      </text>
    </comment>
    <comment ref="C28" authorId="62" shapeId="0" xr:uid="{5019478A-1ED1-4E8C-8575-86F454AD757C}">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https://ars.els-cdn.com/content/image/1-s2.0-S0196890424003674-mmc1.pdf
Table 8S
Industry Methane Boiler
</t>
      </text>
    </comment>
    <comment ref="E28" authorId="63" shapeId="0" xr:uid="{02F6E3E2-79B9-4A30-AF21-A16A33EE26A9}">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https://www.kbob.admin.ch/dam/de/sd-web/Ov7IumBLw3iS/20230116_Faktenblatt_CO2-Emissionsfaktoren_04-2024_DE.pdf
Table 2, 2023 value transformed to t/MWh</t>
      </text>
    </comment>
    <comment ref="F28" authorId="64" shapeId="0" xr:uid="{6A96A72F-44F2-4EC3-8D56-07F615AA5DB2}">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https://ars.els-cdn.com/content/image/1-s2.0-S0196890424003674-mmc1.pdf
Table 8S
Industry Methane Boiler
</t>
      </text>
    </comment>
    <comment ref="G28" authorId="65" shapeId="0" xr:uid="{3C52A7C6-D2E8-48BD-B390-1EDB00531035}">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Same as gas</t>
      </text>
    </comment>
    <comment ref="H28" authorId="66" shapeId="0" xr:uid="{EDF400A9-3CBC-4F9E-8EEE-D0B3664FEB97}">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https://ars.els-cdn.com/content/image/1-s2.0-S0196890424003674-mmc1.pdf
Table 8S
Industry Methane Boiler</t>
      </text>
    </comment>
    <comment ref="M28" authorId="67" shapeId="0" xr:uid="{C0DA00D3-12F5-40CB-B616-BD73D29E5EBA}">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https://ars.els-cdn.com/content/image/1-s2.0-S0196890424003674-mmc1.pdf
Table 8S
„Industry Methane Boiler“</t>
      </text>
    </comment>
    <comment ref="C29" authorId="68" shapeId="0" xr:uid="{62416910-625E-4E7D-BBEE-68C5BE5EF3EF}">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https://ars.els-cdn.com/content/image/1-s2.0-S0196890424003674-mmc1.pdf
Table 8S
Industry Methane Boiler
</t>
      </text>
    </comment>
    <comment ref="E29" authorId="69" shapeId="0" xr:uid="{FD837BAF-B10D-4668-8EA1-3F8F49DF244F}">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https://www.kbob.admin.ch/dam/de/sd-web/Ov7IumBLw3iS/20230116_Faktenblatt_CO2-Emissionsfaktoren_04-2024_DE.pdf
Table 2, 2023 value transformed to t/MWh</t>
      </text>
    </comment>
    <comment ref="F29" authorId="70" shapeId="0" xr:uid="{C09412F0-3137-46E8-BE10-0E15CC43944B}">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https://ars.els-cdn.com/content/image/1-s2.0-S0196890424003674-mmc1.pdf
Table 8S
Industry Methane Boiler
</t>
      </text>
    </comment>
    <comment ref="G29" authorId="71" shapeId="0" xr:uid="{6BDEA038-915B-4090-86E3-69668EA55784}">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Same as gas</t>
      </text>
    </comment>
    <comment ref="H29" authorId="72" shapeId="0" xr:uid="{5686F4C8-681E-45A1-B172-E539FA787D5F}">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https://ars.els-cdn.com/content/image/1-s2.0-S0196890424003674-mmc1.pdf
Table 8S
Industry Methane Boiler
</t>
      </text>
    </comment>
    <comment ref="M29" authorId="73" shapeId="0" xr:uid="{FFA1B7A9-82A2-4499-8F0C-3E333754D782}">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https://ars.els-cdn.com/content/image/1-s2.0-S0196890424003674-mmc1.pdf
Table 8S
„Industry Methane Boiler“
</t>
      </text>
    </comment>
    <comment ref="C30" authorId="74" shapeId="0" xr:uid="{E84B2078-15C0-49D7-877C-30D0477CF2A5}">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https://nexus-e.org/wp-content/uploads/2022/08/Nexuse_Report_InputData_v2.pdf
Table 6</t>
      </text>
    </comment>
    <comment ref="E30" authorId="75" shapeId="0" xr:uid="{EB640590-032A-4379-8AF6-B5E2D265FE2B}">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https://www.kbob.admin.ch/dam/de/sd-web/Ov7IumBLw3iS/20230116_Faktenblatt_CO2-Emissionsfaktoren_04-2024_DE.pdf
Table 1, Steinkohle value transformed to t/MWh</t>
      </text>
    </comment>
    <comment ref="G30" authorId="76" shapeId="0" xr:uid="{530D5002-9BA2-4D46-AA1A-F95C06854013}">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https://www.bfe.admin.ch/bfe/en/home/policy/energy-perspectives-2050-plus.html/
Abbildung 11</t>
      </text>
    </comment>
    <comment ref="L30" authorId="77" shapeId="0" xr:uid="{A612EEF7-0919-4D9B-BC87-9054C053727F}">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https://nexus-e.org/wp-content/uploads/2022/08/Nexuse_Report_InputData_v2.pdf
Table 20
Average of Austria, Germany, France and Italy</t>
      </text>
    </comment>
    <comment ref="C31" authorId="78" shapeId="0" xr:uid="{ABBF64E1-F577-45FF-978E-7F9A0FBDD1F1}">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https://nexus-e.org/wp-content/uploads/2022/08/Nexuse_Report_InputData_v2.pdf
Table 6
</t>
      </text>
    </comment>
    <comment ref="E31" authorId="79" shapeId="0" xr:uid="{71328BF1-FBB5-475D-813B-E83E0A54CE65}">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https://www.kbob.admin.ch/dam/de/sd-web/Ov7IumBLw3iS/20230116_Faktenblatt_CO2-Emissionsfaktoren_04-2024_DE.pdf
Table 1, Steinkohle value transformed to t/MWh</t>
      </text>
    </comment>
    <comment ref="G31" authorId="80" shapeId="0" xr:uid="{C2CD5D24-3117-4B50-9150-2BD8E21B28A4}">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https://www.bfe.admin.ch/bfe/en/home/policy/energy-perspectives-2050-plus.html/
Abbildung 11</t>
      </text>
    </comment>
    <comment ref="L31" authorId="81" shapeId="0" xr:uid="{F1C9CB77-8B35-47CF-9A12-D9219ADCD9C4}">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https://nexus-e.org/wp-content/uploads/2022/08/Nexuse_Report_InputData_v2.pdf
Table 20
Average of Austria, Germany, France and Italy</t>
      </text>
    </comment>
    <comment ref="C32" authorId="82" shapeId="0" xr:uid="{D8C32512-D44D-4DC6-BA1D-77B77DDAA81D}">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The COP is considered elsewhere in the model. Thus, this is just 1.</t>
      </text>
    </comment>
    <comment ref="F32" authorId="83" shapeId="0" xr:uid="{697F5FAF-9231-4636-9FE9-B85EE48DBD86}">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https://ars.els-cdn.com/content/image/1-s2.0-S0196890424003674-mmc1.pdf
Table 8S
</t>
      </text>
    </comment>
    <comment ref="H32" authorId="84" shapeId="0" xr:uid="{33DC931D-77A9-4F04-8C94-266E78D5719A}">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https://ars.els-cdn.com/content/image/1-s2.0-S0196890424003674-mmc1.pdf
Table 8S</t>
      </text>
    </comment>
    <comment ref="M32" authorId="85" shapeId="0" xr:uid="{B3DDA51F-1C6C-423B-83C7-47AA81A4EBB1}">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https://ars.els-cdn.com/content/image/1-s2.0-S0196890424003674-mmc1.pdf
Table 8S
</t>
      </text>
    </comment>
    <comment ref="C33" authorId="86" shapeId="0" xr:uid="{CE06F4C4-EBDA-471F-906B-813852AA4283}">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The COP is considered elsewhere in the model. Thus, this is just 1.
</t>
      </text>
    </comment>
    <comment ref="F33" authorId="87" shapeId="0" xr:uid="{13E00CC3-0E9B-45FE-8500-0781366A111F}">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https://ars.els-cdn.com/content/image/1-s2.0-S0196890424003674-mmc1.pdf
Table 8S
</t>
      </text>
    </comment>
    <comment ref="H33" authorId="88" shapeId="0" xr:uid="{E6FC6814-D268-499B-AF43-5701F86E505C}">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https://ars.els-cdn.com/content/image/1-s2.0-S0196890424003674-mmc1.pdf
Table 8S
</t>
      </text>
    </comment>
    <comment ref="M33" authorId="89" shapeId="0" xr:uid="{C3F317AF-40CD-4EA5-A9C9-F8A837CCFCC6}">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https://ars.els-cdn.com/content/image/1-s2.0-S0196890424003674-mmc1.pdf
Table 8S
</t>
      </text>
    </comment>
    <comment ref="C34" authorId="90" shapeId="0" xr:uid="{0BCD3CBD-143B-422A-84FD-4829A84E1E91}">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The COP is considered elsewhere in the model. Thus, this is just 1.
</t>
      </text>
    </comment>
    <comment ref="C35" authorId="91" shapeId="0" xr:uid="{8D982770-3DF1-4BF4-B649-B03E96E88AB4}">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The COP is considered elsewhere in the model. Thus, this is just 1.
</t>
      </text>
    </comment>
    <comment ref="C36" authorId="92" shapeId="0" xr:uid="{F8C880E3-80BE-491F-AB0D-74980ABDAC73}">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Same efficiency assumed as for CCGT</t>
      </text>
    </comment>
    <comment ref="D36" authorId="93" shapeId="0" xr:uid="{CC999FB3-108A-44C0-81A1-A3399C19826C}">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According to
https://ars.els-cdn.com/content/image/1-s2.0-S0196890424003674-mmc1.pdf
There is a roundtrip efficiency of 40%. With the provided electrolyzer efficiency, the roundtrip efficiency is exactly 40%.</t>
      </text>
    </comment>
    <comment ref="F36" authorId="94" shapeId="0" xr:uid="{3DF71DB5-F7AF-48A4-AFF1-6C93B8E3508B}">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https://ars.els-cdn.com/content/image/1-s2.0-S0196890424003674-mmc1.pdf
Table 5S</t>
      </text>
    </comment>
    <comment ref="H36" authorId="95" shapeId="0" xr:uid="{68D56D2A-80D9-479A-A635-8C973891022A}">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Own assumption: Same investment costs assumed as for CCGT but 10% more expensive</t>
      </text>
    </comment>
    <comment ref="I36" authorId="96" shapeId="0" xr:uid="{B45EE76D-C580-4F76-9D08-63B4241C31E1}">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https://sites.uwasa.fi/vepe/en/2024/12/11/the-difference-between-hydrogen-visions-and-the-reality-investment-values/
BNEF</t>
      </text>
    </comment>
    <comment ref="J36" authorId="97" shapeId="0" xr:uid="{1A6DECB3-96A0-4EED-8737-CC310860E246}">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http://doi.org/10.55402/psi:63482
Table 1
291 Multiplied by 5 because hydrogen has a lower density and constructing such a storage for hydrogen instead of LRC might be technically more challenging</t>
      </text>
    </comment>
    <comment ref="M36" authorId="98" shapeId="0" xr:uid="{B06CAE8D-222A-4F57-BCFE-F9D1D5EFA107}">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https://ars.els-cdn.com/content/image/1-s2.0-S0196890424003674-mmc1.pdf
Table 5S</t>
      </text>
    </comment>
    <comment ref="C37" authorId="99" shapeId="0" xr:uid="{F5E79687-F8CA-4D05-8427-8749461D761F}">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Same efficiency assumed as for CCGT</t>
      </text>
    </comment>
    <comment ref="D37" authorId="100" shapeId="0" xr:uid="{A064644F-F211-4168-8DC6-0FC611B05D36}">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According to
https://ars.els-cdn.com/content/image/1-s2.0-S0196890424003674-mmc1.pdf
There is a roundtrip efficiency of 40%. With the provided electrolyzer efficiency, the roundtrip efficiency is exactly 40%.
</t>
      </text>
    </comment>
    <comment ref="F37" authorId="101" shapeId="0" xr:uid="{0614F586-84EC-4FE8-99E4-7EDCBDD03807}">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https://ars.els-cdn.com/content/image/1-s2.0-S0196890424003674-mmc1.pdf
Table 5S</t>
      </text>
    </comment>
    <comment ref="H37" authorId="102" shapeId="0" xr:uid="{F292AF33-00C1-4ADE-AD2E-C60B9559788A}">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Own assumption: Same investment costs assumed as for CCGT but 10% more expensive
</t>
      </text>
    </comment>
    <comment ref="I37" authorId="103" shapeId="0" xr:uid="{A080EED5-3C47-4563-9130-06B8A7423593}">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https://sites.uwasa.fi/vepe/en/2024/12/11/the-difference-between-hydrogen-visions-and-the-reality-investment-values/
BNEF
</t>
      </text>
    </comment>
    <comment ref="J37" authorId="104" shapeId="0" xr:uid="{F6FB371F-A7B9-4ED7-AE61-46CB6725293E}">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http://doi.org/10.55402/psi:63482
Table 1
291 Multiplied by 5 because hydrogen has a lower density and constructing such a storage for hydrogen instead of LRC might be technically more challenging
</t>
      </text>
    </comment>
    <comment ref="M37" authorId="105" shapeId="0" xr:uid="{FAE1C2FC-ED53-49D5-A022-31AD6E07A711}">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https://ars.els-cdn.com/content/image/1-s2.0-S0196890424003674-mmc1.pdf
Table 5S</t>
      </text>
    </comment>
    <comment ref="C38" authorId="106" shapeId="0" xr:uid="{F70581DF-8EE1-45B4-9557-5EBE06D8D579}">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https://nexus-e.org/wp-content/uploads/2022/08/Nexuse_Report_InputData_v2.pdf
Table 6</t>
      </text>
    </comment>
    <comment ref="H38" authorId="107" shapeId="0" xr:uid="{62BF7804-1960-4BD4-B520-0F84D57CA1F2}">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https://www.lazard.com/media/xemfey0k/lazards-lcoeplus-june-2024-_vf.pdf
Die Quelle der Investitionskosten zu Kernkraftwerken geht bei Neuinvestitionen in den USA von Kosten von $8.765 - $14.400 pro kW aus. Die Umrechnung des Mittelwertes zu CHF2017 ergibt 8.637 CHF pro kW.</t>
      </text>
    </comment>
    <comment ref="L38" authorId="108" shapeId="0" xr:uid="{D11D5FBF-33C0-45B0-9D1E-2CB45CDAB78E}">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https://nexus-e.org/wp-content/uploads/2022/08/Nexuse_Report_InputData_v2.pdf
Table 20
Same costs assumed as for Germany and France</t>
      </text>
    </comment>
    <comment ref="M38" authorId="109" shapeId="0" xr:uid="{762BF30A-67D7-4F7C-ACF4-517E9E45A50B}">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https://ars.els-cdn.com/content/image/1-s2.0-S0196890424003674-mmc1.pdf
Table 4S</t>
      </text>
    </comment>
    <comment ref="C39" authorId="110" shapeId="0" xr:uid="{38745A2B-FAEF-4A55-BE52-F2DCE990958E}">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https://nexus-e.org/wp-content/uploads/2022/08/Nexuse_Report_InputData_v2.pdf
Table 6</t>
      </text>
    </comment>
    <comment ref="H39" authorId="111" shapeId="0" xr:uid="{1423E1A8-23D4-444B-BA46-7F7AE1719BC4}">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https://www.lazard.com/media/xemfey0k/lazards-lcoeplus-june-2024-_vf.pdf
Die Quelle der Investitionskosten zu Kernkraftwerken geht bei Neuinvestitionen in den USA von Kosten von $8.765 - $14.400 pro kW aus. Die Umrechnung des Mittelwertes zu CHF2017 ergibt 8.637 CHF pro kW.
</t>
      </text>
    </comment>
    <comment ref="L39" authorId="112" shapeId="0" xr:uid="{DAF37FF7-6090-46AE-852B-5917ECC76E34}">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https://nexus-e.org/wp-content/uploads/2022/08/Nexuse_Report_InputData_v2.pdf
Table 20
Same costs assumed as for Germany and France</t>
      </text>
    </comment>
    <comment ref="M39" authorId="113" shapeId="0" xr:uid="{0DA78E76-FBE1-4165-BDCC-3E2B60271EB2}">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https://ars.els-cdn.com/content/image/1-s2.0-S0196890424003674-mmc1.pdf
Table 4S</t>
      </text>
    </comment>
    <comment ref="C40" authorId="114" shapeId="0" xr:uid="{D7FD7CF9-2938-42A4-B020-A0E631FF0789}">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https://nexus-e.org/wp-content/uploads/2022/08/Nexuse_Report_InputData_v2.pdf
Table 6</t>
      </text>
    </comment>
    <comment ref="E40" authorId="115" shapeId="0" xr:uid="{518450BD-7FF4-4C45-88F8-6381FED4D837}">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https://www.kbob.admin.ch/dam/de/sd-web/Ov7IumBLw3iS/20230116_Faktenblatt_CO2-Emissionsfaktoren_04-2024_DE.pdf
Table 1, Diesel value transformed to t/MWh</t>
      </text>
    </comment>
    <comment ref="G40" authorId="116" shapeId="0" xr:uid="{7CD06502-576F-494A-A930-CF8D4871B07D}">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https://www.bfe.admin.ch/bfe/en/home/policy/energy-perspectives-2050-plus.html/
Table 7</t>
      </text>
    </comment>
    <comment ref="H40" authorId="117" shapeId="0" xr:uid="{4E87243F-A485-4E26-92C7-C8F67ED6064C}">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Copied from oil assuming that a gas fired plant can be co-used as a dual fuel plant</t>
      </text>
    </comment>
    <comment ref="K40" authorId="118" shapeId="0" xr:uid="{DD979372-2D05-43DD-9168-D28EB67F320B}">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see input\info_Oil_Storage_Cost_Calculation_15_58.txt</t>
      </text>
    </comment>
    <comment ref="L40" authorId="119" shapeId="0" xr:uid="{B78E6270-09B9-44A0-B768-DC5102EA22E6}">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Copied from oil assuming that a gas fired plant can be co-used as a dual fuel plant
</t>
      </text>
    </comment>
    <comment ref="M40" authorId="120" shapeId="0" xr:uid="{05B9C969-5D03-455B-9229-605612F5146E}">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Copied from oil assuming that a gas fired plant can be co-used as a dual fuel plant
</t>
      </text>
    </comment>
    <comment ref="C41" authorId="121" shapeId="0" xr:uid="{3E6C851E-F4A7-439E-A73B-96F6109C175F}">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https://nexus-e.org/wp-content/uploads/2022/08/Nexuse_Report_InputData_v2.pdf
Table 6</t>
      </text>
    </comment>
    <comment ref="E41" authorId="122" shapeId="0" xr:uid="{872D4B18-7023-4240-A5EF-A959A736F328}">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https://www.kbob.admin.ch/dam/de/sd-web/Ov7IumBLw3iS/20230116_Faktenblatt_CO2-Emissionsfaktoren_04-2024_DE.pdf
Table 1, Diesel value transformed to t/MWh</t>
      </text>
    </comment>
    <comment ref="G41" authorId="123" shapeId="0" xr:uid="{007B3996-314D-452C-B4F3-E481D9FDAD0F}">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https://www.bfe.admin.ch/bfe/en/home/policy/energy-perspectives-2050-plus.html/
Table 7</t>
      </text>
    </comment>
    <comment ref="H41" authorId="124" shapeId="0" xr:uid="{9BE787FA-FABB-4555-9A16-DA7946402D8E}">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Copied from oil assuming that a gas fired plant can be co-used as a dual fuel plant</t>
      </text>
    </comment>
    <comment ref="K41" authorId="125" shapeId="0" xr:uid="{EDBA5C28-D5E5-4D50-923D-C7285B45AA82}">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see input\info_Oil_Storage_Cost_Calculation_15_58.txt</t>
      </text>
    </comment>
    <comment ref="L41" authorId="126" shapeId="0" xr:uid="{877D5D86-1DE8-47A7-8742-C5FA70EA2A8C}">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Copied from oil assuming that a gas fired plant can be co-used as a dual fuel plant
</t>
      </text>
    </comment>
    <comment ref="M41" authorId="127" shapeId="0" xr:uid="{EF9B3627-965F-4FC8-8C27-7D9A5BDD0EBE}">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Copied from oil assuming that a gas fired plant can be co-used as a dual fuel plant
</t>
      </text>
    </comment>
    <comment ref="E42" authorId="128" shapeId="0" xr:uid="{5E38C287-F962-48AA-A3AB-BB9BA09D76D5}">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Might not be 0.</t>
      </text>
    </comment>
    <comment ref="G42" authorId="129" shapeId="0" xr:uid="{7C81F5BE-832E-4E9C-A845-E1E6EFAD6B76}">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Requires update</t>
      </text>
    </comment>
    <comment ref="E43" authorId="130" shapeId="0" xr:uid="{7972CAF5-7ED3-4839-9995-6CE31AF68F31}">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Might not be 0.
</t>
      </text>
    </comment>
    <comment ref="G43" authorId="131" shapeId="0" xr:uid="{A9892ACD-DCE1-4940-B802-55CB8FC9568E}">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Requires update</t>
      </text>
    </comment>
    <comment ref="C44" authorId="132" shapeId="0" xr:uid="{42069E5E-F154-4351-8096-F38733A3B982}">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Own assumption</t>
      </text>
    </comment>
    <comment ref="D44" authorId="133" shapeId="0" xr:uid="{5D568205-189D-4C0F-A354-E60E1A2A5A86}">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Own assumption</t>
      </text>
    </comment>
    <comment ref="C45" authorId="134" shapeId="0" xr:uid="{AD5D1C4F-1CFC-4800-9EFD-B8CB110F8244}">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Own assumption</t>
      </text>
    </comment>
    <comment ref="D45" authorId="135" shapeId="0" xr:uid="{B6136E31-C634-4C1A-BE39-9AAB2E25F46C}">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Own assumption</t>
      </text>
    </comment>
    <comment ref="C46" authorId="136" shapeId="0" xr:uid="{6FBBF41C-D847-4342-A95A-19064F450934}">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Own assumption</t>
      </text>
    </comment>
    <comment ref="D46" authorId="137" shapeId="0" xr:uid="{7AD2EC57-6BF2-4625-AD52-61BC11BD12EC}">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Own assumption</t>
      </text>
    </comment>
    <comment ref="C47" authorId="138" shapeId="0" xr:uid="{13A65F1B-6A2C-4B7F-A11C-A280FFFBAA6C}">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Own assumption</t>
      </text>
    </comment>
    <comment ref="D47" authorId="139" shapeId="0" xr:uid="{17698F76-DEB4-457F-81C4-43E65E84D220}">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Own assumption</t>
      </text>
    </comment>
    <comment ref="C48" authorId="140" shapeId="0" xr:uid="{1CED607C-2EAE-4BEA-B846-68A2D65A994E}">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Own assumption based on discussions with HSLU and
https://doi.org/10.1115/1.4069122
</t>
      </text>
    </comment>
    <comment ref="D48" authorId="141" shapeId="0" xr:uid="{4B11B66B-88C7-439B-99D7-B881793F9AF7}">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Own assumption based on discussions with HSLU and
https://doi.org/10.1115/1.4069122
</t>
      </text>
    </comment>
    <comment ref="H48" authorId="142" shapeId="0" xr:uid="{18FDF8B2-540C-4B49-BB41-02BDF27CEEDC}">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Own assumption based on discussions with HSLU and
https://doi.org/10.1115/1.4069122
</t>
      </text>
    </comment>
    <comment ref="J48" authorId="143" shapeId="0" xr:uid="{3B3B0576-28B0-4929-BA62-30483F7A9B56}">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Own assumption based on discussions with HSLU and
https://doi.org/10.1115/1.4069122</t>
      </text>
    </comment>
    <comment ref="M48" authorId="144" shapeId="0" xr:uid="{380FE5CE-6AEC-4F52-B198-4EC85255083F}">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Own assumption based on discussions with HSLU and
https://doi.org/10.1115/1.4069122
</t>
      </text>
    </comment>
    <comment ref="C49" authorId="145" shapeId="0" xr:uid="{F9D460E1-AA92-4B9D-BE1E-D7CC57E0A69C}">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Own assumption based on discussions with HSLU and
https://doi.org/10.1115/1.4069122
</t>
      </text>
    </comment>
    <comment ref="D49" authorId="146" shapeId="0" xr:uid="{EED2CA4C-0C69-427A-A3BB-1CC5891561A8}">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Own assumption based on discussions with HSLU and
https://doi.org/10.1115/1.4069122
</t>
      </text>
    </comment>
    <comment ref="H49" authorId="147" shapeId="0" xr:uid="{119B9A2D-7977-44E0-95EE-EAD2F5C3E217}">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Own assumption based on discussions with HSLU and
https://doi.org/10.1115/1.4069122
</t>
      </text>
    </comment>
    <comment ref="J49" authorId="148" shapeId="0" xr:uid="{7747A789-49B5-48F9-BDF1-26861AF7B031}">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Own assumption based on discussions with HSLU and
https://doi.org/10.1115/1.4069122</t>
      </text>
    </comment>
    <comment ref="M49" authorId="149" shapeId="0" xr:uid="{DA1A4F0E-4897-434F-97C4-7297B800375D}">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Own assumption based on discussions with HSLU and
https://doi.org/10.1115/1.4069122
</t>
      </text>
    </comment>
    <comment ref="C50" authorId="150" shapeId="0" xr:uid="{D7878C6C-5289-44F0-95A5-85FC71FED5C2}">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The feed-in of PV works according to weather year dependant feed-in profiles. Therefore, the efficiency here can just be set to 1.</t>
      </text>
    </comment>
    <comment ref="F50" authorId="151" shapeId="0" xr:uid="{0C873E3E-FF38-43F9-AA7C-7295B4A625FB}">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https://www.bfe.admin.ch/bfe/en/home/policy/energy-perspectives-2050-plus.html/
Table 60</t>
      </text>
    </comment>
    <comment ref="H50" authorId="152" shapeId="0" xr:uid="{B2E4E807-F2C6-4018-AE3A-686458004D8E}">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The investment costs for 2050 are taken from NEXUS-E, which only provides values for this year. The investment costs for 2035 are calculated on the basis of the 2050 values and adjusted upwards. This adjustment is made using a scaling factor derived from the learning curve assumed in EP2050+ for the period between 2035 and 2050.
</t>
      </text>
    </comment>
    <comment ref="M50" authorId="153" shapeId="0" xr:uid="{E20AC9CF-BC4D-4FB9-A5E4-FF03C0E62B5C}">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https://ars.els-cdn.com/content/image/1-s2.0-S0196890424003674-mmc1.pdf
Table 3S</t>
      </text>
    </comment>
    <comment ref="C51" authorId="154" shapeId="0" xr:uid="{56874849-E142-4ED0-95B0-C947C90100A1}">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The feed-in of PV works according to weather year dependant feed-in profiles. Therefore, the efficiency here can just be set to 1.
</t>
      </text>
    </comment>
    <comment ref="F51" authorId="155" shapeId="0" xr:uid="{04EC6085-0596-42B4-BFC1-AE08069E68DB}">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https://www.bfe.admin.ch/bfe/en/home/policy/energy-perspectives-2050-plus.html/
Table 60</t>
      </text>
    </comment>
    <comment ref="H51" authorId="156" shapeId="0" xr:uid="{BA615197-5E65-4B20-9B79-541DFAA2B3DF}">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The investment costs for 2050 are taken from NEXUS-E, which only provides values for this year. The investment costs for 2035 are calculated on the basis of the 2050 values and adjusted upwards. This adjustment is made using a scaling factor derived from the learning curve assumed in EP2050+ for the period between 2035 and 2050.
</t>
      </text>
    </comment>
    <comment ref="M51" authorId="157" shapeId="0" xr:uid="{7E7B581F-9736-4AAE-BD51-18FBF6CA2264}">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https://ars.els-cdn.com/content/image/1-s2.0-S0196890424003674-mmc1.pdf
Table 3S</t>
      </text>
    </comment>
    <comment ref="C52" authorId="158" shapeId="0" xr:uid="{BD9A823B-D7CB-41D4-B29C-81606CFE2F05}">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https://ars.els-cdn.com/content/image/1-s2.0-S0196890424003674-mmc1.pdf
Table 8S
</t>
      </text>
    </comment>
    <comment ref="F52" authorId="159" shapeId="0" xr:uid="{E8D31F90-D98E-4871-B84B-84652C9B4B77}">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https://ars.els-cdn.com/content/image/1-s2.0-S0196890424003674-mmc1.pdf
Table 8S
</t>
      </text>
    </comment>
    <comment ref="H52" authorId="160" shapeId="0" xr:uid="{32289A4A-907F-4E4E-86F8-47ECFE767A90}">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https://ars.els-cdn.com/content/image/1-s2.0-S0196890424003674-mmc1.pdf
Table 8S
</t>
      </text>
    </comment>
    <comment ref="M52" authorId="161" shapeId="0" xr:uid="{FCDECC75-B1F8-4726-A70E-69DE986EC24C}">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https://ars.els-cdn.com/content/image/1-s2.0-S0196890424003674-mmc1.pdf
Table 8S</t>
      </text>
    </comment>
    <comment ref="C53" authorId="162" shapeId="0" xr:uid="{246CF1DC-0F83-41F7-A834-CF3521B8BE97}">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https://ars.els-cdn.com/content/image/1-s2.0-S0196890424003674-mmc1.pdf
Table 8S
</t>
      </text>
    </comment>
    <comment ref="F53" authorId="163" shapeId="0" xr:uid="{6A39F240-4180-459A-91B3-C953BC615AE3}">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https://ars.els-cdn.com/content/image/1-s2.0-S0196890424003674-mmc1.pdf
Table 8S
</t>
      </text>
    </comment>
    <comment ref="H53" authorId="164" shapeId="0" xr:uid="{92200F7B-3013-4386-B877-2312CF7DAADB}">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https://ars.els-cdn.com/content/image/1-s2.0-S0196890424003674-mmc1.pdf
Table 8S
</t>
      </text>
    </comment>
    <comment ref="M53" authorId="165" shapeId="0" xr:uid="{0A01FA67-4C20-460A-A232-0AC78CE742F5}">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https://ars.els-cdn.com/content/image/1-s2.0-S0196890424003674-mmc1.pdf
Table 8S</t>
      </text>
    </comment>
    <comment ref="K54" authorId="166" shapeId="0" xr:uid="{D58F42BD-8B0A-46AE-A81D-9DA852F58E20}">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http://doi.org/10.55402/psi:63482
Table 1</t>
      </text>
    </comment>
    <comment ref="K55" authorId="167" shapeId="0" xr:uid="{DFBC56CD-EEF5-495A-B4F6-B584896D563E}">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http://doi.org/10.55402/psi:63482
Table 1
</t>
      </text>
    </comment>
    <comment ref="C56" authorId="168" shapeId="0" xr:uid="{9186BA40-AEFE-4CEE-8644-DEC15BAEB1AA}">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https://ars.els-cdn.com/content/image/1-s2.0-S0196890424003674-mmc1.pdf
Table 4S
</t>
      </text>
    </comment>
    <comment ref="E56" authorId="169" shapeId="0" xr:uid="{CCA94DD0-EE1C-435A-A0EB-64B909541B3C}">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https://www.kbob.admin.ch/dam/de/sd-web/Ov7IumBLw3iS/20230116_Faktenblatt_CO2-Emissionsfaktoren_04-2024_DE.pdf
Table 2, 2023 value transformed to t/MWh</t>
      </text>
    </comment>
    <comment ref="G56" authorId="170" shapeId="0" xr:uid="{E9EAC069-A54F-4E15-A19F-699042750F3B}">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Same as gas</t>
      </text>
    </comment>
    <comment ref="H56" authorId="171" shapeId="0" xr:uid="{5E942F32-D5C7-449A-B512-C4038A528958}">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https://www.gov.uk/government/publications/beis-electricity-generation-costs-2020
„Electricity generation costs: key data assumptions for generation technologies„
Based on that, it was estimated that the SCGT investment costs should be ⅔ of the CCGT without CCS investment costs.
In 
https://ars.els-cdn.com/content/image/1-s2.0-S0196890424003674-mmc1.pdf
Table 4S, SCGT investment costs are higher than CCGT investment costs which seemed potentially wrong.</t>
      </text>
    </comment>
    <comment ref="L56" authorId="172" shapeId="0" xr:uid="{C621F8CA-C8B2-4D6D-B7A7-DE59A29A7FC6}">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https://ars.els-cdn.com/content/image/1-s2.0-S0196890424003674-mmc1.pdf
Table 4S
</t>
      </text>
    </comment>
    <comment ref="M56" authorId="173" shapeId="0" xr:uid="{958F0854-FFD4-475F-B85C-98B4E50A5E99}">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https://ars.els-cdn.com/content/image/1-s2.0-S0196890424003674-mmc1.pdf
Table 4S</t>
      </text>
    </comment>
    <comment ref="C57" authorId="174" shapeId="0" xr:uid="{1B3323A8-4447-4B46-A207-C3CF5E7BFEBF}">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https://ars.els-cdn.com/content/image/1-s2.0-S0196890424003674-mmc1.pdf
Table 4S
</t>
      </text>
    </comment>
    <comment ref="E57" authorId="175" shapeId="0" xr:uid="{4599AC2C-6074-46C8-9C38-0FDDF278F763}">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https://www.kbob.admin.ch/dam/de/sd-web/Ov7IumBLw3iS/20230116_Faktenblatt_CO2-Emissionsfaktoren_04-2024_DE.pdf
Table 2, 2023 value transformed to t/MWh</t>
      </text>
    </comment>
    <comment ref="G57" authorId="176" shapeId="0" xr:uid="{56AD02EE-4EDA-4034-A01C-0ECD2C7985AF}">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Same as gas</t>
      </text>
    </comment>
    <comment ref="H57" authorId="177" shapeId="0" xr:uid="{05B505F5-9D54-4978-A4EF-2AA6D8AAEA14}">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https://www.gov.uk/government/publications/beis-electricity-generation-costs-2020
„Electricity generation costs: key data assumptions for generation technologies„
Based on that, it was estimated that the SCGT investment costs should be ⅔ of the CCGT without CCS investment costs.
In 
https://ars.els-cdn.com/content/image/1-s2.0-S0196890424003674-mmc1.pdf
Table 4S, SCGT investment costs are higher than CCGT investment costs which seemed potentially wrong.</t>
      </text>
    </comment>
    <comment ref="L57" authorId="178" shapeId="0" xr:uid="{8E95EDAD-C1F6-4FE3-B918-860F43C9668D}">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https://ars.els-cdn.com/content/image/1-s2.0-S0196890424003674-mmc1.pdf
Table 4S
</t>
      </text>
    </comment>
    <comment ref="M57" authorId="179" shapeId="0" xr:uid="{01A63EFA-2F34-403F-AD84-017AE294B0A8}">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https://ars.els-cdn.com/content/image/1-s2.0-S0196890424003674-mmc1.pdf
Table 4S
</t>
      </text>
    </comment>
    <comment ref="C58" authorId="180" shapeId="0" xr:uid="{2F167BE8-6813-44AF-A66E-C2F2ECD2BF28}">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https://ars.els-cdn.com/content/image/1-s2.0-S0196890424003674-mmc1.pdf
Table 4S
</t>
      </text>
    </comment>
    <comment ref="G58" authorId="181" shapeId="0" xr:uid="{994D1F31-8201-4078-A9A3-35D8149BABB3}">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https://ars.els-cdn.com/content/image/1-s2.0-S0196890424003674-mmc1.pdf
Table 14S
55.0 * 3.6</t>
      </text>
    </comment>
    <comment ref="H58" authorId="182" shapeId="0" xr:uid="{F4DC88A2-76E0-49EC-818B-705DB2795CBB}">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https://www.gov.uk/government/publications/beis-electricity-generation-costs-2020
„Electricity generation costs: key data assumptions for generation technologies„
Based on that, it was estimated that the SCGT investment costs should be ⅔ of the CCGT without CCS investment costs.
In 
https://ars.els-cdn.com/content/image/1-s2.0-S0196890424003674-mmc1.pdf
Table 4S, SCGT investment costs are higher than CCGT investment costs which seemed potentially wrong.
</t>
      </text>
    </comment>
    <comment ref="L58" authorId="183" shapeId="0" xr:uid="{4BF33756-FD24-42A9-BD08-9327AE6FD860}">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https://ars.els-cdn.com/content/image/1-s2.0-S0196890424003674-mmc1.pdf
Table 4S
</t>
      </text>
    </comment>
    <comment ref="M58" authorId="184" shapeId="0" xr:uid="{B9AD38DF-1AA6-4AB0-926B-CF368BC396CE}">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https://ars.els-cdn.com/content/image/1-s2.0-S0196890424003674-mmc1.pdf
Table 4S
</t>
      </text>
    </comment>
    <comment ref="C59" authorId="185" shapeId="0" xr:uid="{C8F38497-BFAF-4BF5-A5BE-2780BA0B65BE}">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https://ars.els-cdn.com/content/image/1-s2.0-S0196890424003674-mmc1.pdf
Table 4S
</t>
      </text>
    </comment>
    <comment ref="G59" authorId="186" shapeId="0" xr:uid="{C4CD51F9-5478-40A1-80A4-A2579CAEC430}">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https://ars.els-cdn.com/content/image/1-s2.0-S0196890424003674-mmc1.pdf
Table 14S
55.0 * 3.6
</t>
      </text>
    </comment>
    <comment ref="H59" authorId="187" shapeId="0" xr:uid="{AF974650-2A47-4700-B56B-2B5452A31121}">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https://www.gov.uk/government/publications/beis-electricity-generation-costs-2020
„Electricity generation costs: key data assumptions for generation technologies„
Based on that, it was estimated that the SCGT investment costs should be ⅔ of the CCGT without CCS investment costs.
In 
https://ars.els-cdn.com/content/image/1-s2.0-S0196890424003674-mmc1.pdf
Table 4S, SCGT investment costs are higher than CCGT investment costs which seemed potentially wrong.
</t>
      </text>
    </comment>
    <comment ref="L59" authorId="188" shapeId="0" xr:uid="{C7259605-5B30-4476-BE36-19C524CBFC9F}">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https://ars.els-cdn.com/content/image/1-s2.0-S0196890424003674-mmc1.pdf
Table 4S
</t>
      </text>
    </comment>
    <comment ref="M59" authorId="189" shapeId="0" xr:uid="{8B1E0DB7-4C65-4BED-A1E6-BA9301AF9137}">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https://ars.els-cdn.com/content/image/1-s2.0-S0196890424003674-mmc1.pdf
Table 4S
</t>
      </text>
    </comment>
    <comment ref="C60" authorId="190" shapeId="0" xr:uid="{A5EE8FD0-E6DE-4615-904D-089000778CEF}">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Own assumption based on discussions with HSLU and
https://doi.org/10.1115/1.4069122
</t>
      </text>
    </comment>
    <comment ref="D60" authorId="191" shapeId="0" xr:uid="{E61EAA45-81CE-4D0A-86BB-EBA33D19BF05}">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Own assumption based on discussions with HSLU and
https://doi.org/10.1115/1.4069122
</t>
      </text>
    </comment>
    <comment ref="H60" authorId="192" shapeId="0" xr:uid="{82054389-2F96-49D8-A29F-B04B22B1E815}">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Own assumption based on discussions with HSLU and
https://doi.org/10.1115/1.4069122
</t>
      </text>
    </comment>
    <comment ref="J60" authorId="193" shapeId="0" xr:uid="{147FE4D3-ECF0-4DFE-9517-34FA260857BD}">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Own assumption based on discussions with HSLU and
https://doi.org/10.1115/1.4069122</t>
      </text>
    </comment>
    <comment ref="M60" authorId="194" shapeId="0" xr:uid="{5A766BA0-83F6-46E3-91BF-FFBEF6291018}">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Own assumption based on discussions with HSLU and
https://doi.org/10.1115/1.4069122
</t>
      </text>
    </comment>
    <comment ref="C61" authorId="195" shapeId="0" xr:uid="{D822313A-E88B-4536-80F3-79EEA72810EC}">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Own assumption based on discussions with HSLU and
https://doi.org/10.1115/1.4069122
</t>
      </text>
    </comment>
    <comment ref="D61" authorId="196" shapeId="0" xr:uid="{0D278FAD-6810-4133-9ECC-A7DC71CE4158}">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Own assumption based on discussions with HSLU and
https://doi.org/10.1115/1.4069122
</t>
      </text>
    </comment>
    <comment ref="H61" authorId="197" shapeId="0" xr:uid="{C1C48313-8D69-4EA4-8C8F-176E0AB6CE5A}">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Own assumption based on discussions with HSLU and
https://doi.org/10.1115/1.4069122
</t>
      </text>
    </comment>
    <comment ref="J61" authorId="198" shapeId="0" xr:uid="{F1070CFF-F0CA-4877-AFBC-501694523EEC}">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Own assumption based on discussions with HSLU and
https://doi.org/10.1115/1.4069122</t>
      </text>
    </comment>
    <comment ref="M61" authorId="199" shapeId="0" xr:uid="{67D64D10-D865-4AF3-850E-4524C6A5ED03}">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Own assumption based on discussions with HSLU and
https://doi.org/10.1115/1.4069122
</t>
      </text>
    </comment>
    <comment ref="C62" authorId="200" shapeId="0" xr:uid="{86DC06B2-31F4-4629-A5AD-D51AF744102B}">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https://ars.els-cdn.com/content/image/1-s2.0-S0196890424003674-mmc1.pdf
Table 5S
</t>
      </text>
    </comment>
    <comment ref="D62" authorId="201" shapeId="0" xr:uid="{ABF680EF-3634-4220-9D0B-ED0235DC0110}">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https://ars.els-cdn.com/content/image/1-s2.0-S0196890424003674-mmc1.pdf
Table 5S
</t>
      </text>
    </comment>
    <comment ref="C63" authorId="202" shapeId="0" xr:uid="{9157755E-C2E5-461A-8766-EDC0CFD3CD29}">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https://ars.els-cdn.com/content/image/1-s2.0-S0196890424003674-mmc1.pdf
Table 5S
</t>
      </text>
    </comment>
    <comment ref="D63" authorId="203" shapeId="0" xr:uid="{9375D386-88BA-4829-B090-C91521A866CE}">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https://ars.els-cdn.com/content/image/1-s2.0-S0196890424003674-mmc1.pdf
Table 5S
</t>
      </text>
    </comment>
    <comment ref="C64" authorId="204" shapeId="0" xr:uid="{4FB1AA71-120E-4E72-A655-7CFC22128A11}">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The feed-in of wind works according to weather year dependant feed-in profiles. Therefore, the efficiency here can just be set to 1.</t>
      </text>
    </comment>
    <comment ref="F64" authorId="205" shapeId="0" xr:uid="{C533CA02-5666-42FA-9D7B-2DCB801CACB1}">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https://www.bfe.admin.ch/bfe/en/home/policy/energy-perspectives-2050-plus.html/
Table 60</t>
      </text>
    </comment>
    <comment ref="H64" authorId="206" shapeId="0" xr:uid="{ACA27B43-EFB1-4FD8-950B-437D54411EB3}">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The investment costs for 2050 are taken from NEXUS-E, which only provides values for this year. The investment costs for 2035 are calculated on the basis of the 2050 values and adjusted upwards. This adjustment is made using a scaling factor derived from the learning curve assumed in EP2050+ for the period between 2035 and 2050.</t>
      </text>
    </comment>
    <comment ref="M64" authorId="207" shapeId="0" xr:uid="{4E9BF36A-31A2-4E3D-AEB7-5FED5FFCA9B3}">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https://ars.els-cdn.com/content/image/1-s2.0-S0196890424003674-mmc1.pdf
Table 3S</t>
      </text>
    </comment>
    <comment ref="C65" authorId="208" shapeId="0" xr:uid="{CC358C68-8A92-448D-BEB5-092D2D8C483F}">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The feed-in of wind works according to weather year dependant feed-in profiles. Therefore, the efficiency here can just be set to 1.
</t>
      </text>
    </comment>
    <comment ref="F65" authorId="209" shapeId="0" xr:uid="{85CD0906-D8AC-4F8D-891E-99E7DEBC5632}">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https://www.bfe.admin.ch/bfe/en/home/policy/energy-perspectives-2050-plus.html/
Table 60</t>
      </text>
    </comment>
    <comment ref="H65" authorId="210" shapeId="0" xr:uid="{BACCF0B2-08BA-47E9-A713-6E1EA5450B52}">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The investment costs for 2050 are taken from NEXUS-E, which only provides values for this year. The investment costs for 2035 are calculated on the basis of the 2050 values and adjusted upwards. This adjustment is made using a scaling factor derived from the learning curve assumed in EP2050+ for the period between 2035 and 2050.</t>
      </text>
    </comment>
    <comment ref="M65" authorId="211" shapeId="0" xr:uid="{1E727657-2AC6-476B-BA78-D26D0D2D83CA}">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https://ars.els-cdn.com/content/image/1-s2.0-S0196890424003674-mmc1.pdf
Table 3S</t>
      </text>
    </comment>
    <comment ref="C66" authorId="212" shapeId="0" xr:uid="{E5B5F6AE-DA0E-472D-9229-5174271631A7}">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The feed-in of wind works according to weather year dependant feed-in profiles. Therefore, the efficiency here can just be set to 1.</t>
      </text>
    </comment>
    <comment ref="C67" authorId="213" shapeId="0" xr:uid="{A0CAD935-777C-4917-A984-6394E674CF70}">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The feed-in of wind works according to weather year dependant feed-in profiles. Therefore, the efficiency here can just be set to 1.
</t>
      </text>
    </comment>
  </commentList>
</comments>
</file>

<file path=xl/sharedStrings.xml><?xml version="1.0" encoding="utf-8"?>
<sst xmlns="http://schemas.openxmlformats.org/spreadsheetml/2006/main" count="105" uniqueCount="71">
  <si>
    <t>technology</t>
  </si>
  <si>
    <t>year</t>
  </si>
  <si>
    <t>efficiency</t>
  </si>
  <si>
    <t>efficiency_into_storage</t>
  </si>
  <si>
    <t>emission_factor</t>
  </si>
  <si>
    <t>fixed_op_cost_chfMW</t>
  </si>
  <si>
    <t>input_cost_scenario_ZERO</t>
  </si>
  <si>
    <t>investment_cost_chfMW</t>
  </si>
  <si>
    <t>investment_energy_cost_chfMWh</t>
  </si>
  <si>
    <t>investment_fuel_energy_cost_chfMWh</t>
  </si>
  <si>
    <t>om_cost_eurMWH</t>
  </si>
  <si>
    <t>amortization_years</t>
  </si>
  <si>
    <t>CCGTCCS</t>
  </si>
  <si>
    <t>fossilmethane</t>
  </si>
  <si>
    <t>CCGTresmethane</t>
  </si>
  <si>
    <t>resmethane</t>
  </si>
  <si>
    <t>PTES_large</t>
  </si>
  <si>
    <t>SCGTfossil</t>
  </si>
  <si>
    <t>SCGTresmethane</t>
  </si>
  <si>
    <t>TTES_medium</t>
  </si>
  <si>
    <t>battery</t>
  </si>
  <si>
    <t>biomass</t>
  </si>
  <si>
    <t>co2</t>
  </si>
  <si>
    <t>dam</t>
  </si>
  <si>
    <t>dsr</t>
  </si>
  <si>
    <t>dsrTh</t>
  </si>
  <si>
    <t>electrolyzer</t>
  </si>
  <si>
    <t>ev_flex</t>
  </si>
  <si>
    <t>gas</t>
  </si>
  <si>
    <t>gas_boiler</t>
  </si>
  <si>
    <t>hardcoal</t>
  </si>
  <si>
    <t>heat_pump</t>
  </si>
  <si>
    <t>heat_pump_households</t>
  </si>
  <si>
    <t>hydrogen</t>
  </si>
  <si>
    <t>nuclear</t>
  </si>
  <si>
    <t>oil</t>
  </si>
  <si>
    <t>other</t>
  </si>
  <si>
    <t>psp_close</t>
  </si>
  <si>
    <t>psp_open</t>
  </si>
  <si>
    <t>pvrf</t>
  </si>
  <si>
    <t>resistive_heater</t>
  </si>
  <si>
    <t>v2g</t>
  </si>
  <si>
    <t>windon</t>
  </si>
  <si>
    <t>Share of fixed operation and maintenance costs</t>
  </si>
  <si>
    <t>Unit conversions</t>
  </si>
  <si>
    <t>EUR2017toCHF2017</t>
  </si>
  <si>
    <t>USD2017toCHF2017</t>
  </si>
  <si>
    <t>USD2024toCHF2017</t>
  </si>
  <si>
    <t>EUR2024toCHF2017</t>
  </si>
  <si>
    <t>Energy Perspectives 2050+</t>
  </si>
  <si>
    <t>NEXUS-E</t>
  </si>
  <si>
    <t>Mellot et al. 2024</t>
  </si>
  <si>
    <t>Other</t>
  </si>
  <si>
    <t>EUR2018toCHF2017</t>
  </si>
  <si>
    <t>Based on HSLU</t>
  </si>
  <si>
    <t>CHF2020toCHF2017</t>
  </si>
  <si>
    <t>This tab is not read by the model! The model reads the "03_Calculated_Costs" tab. Here, you can put the raw costs as they are depicted in the respective sources and then adjust them using "02_Parameters" to have uniform values in "03_Calculated_Costs".</t>
  </si>
  <si>
    <t>SFOE</t>
  </si>
  <si>
    <t>efficiency grid -&gt; storage</t>
  </si>
  <si>
    <t>emission factor</t>
  </si>
  <si>
    <t>O&amp;M Annual [CHF/MW/y]</t>
  </si>
  <si>
    <t>Fuel cost [CHF/MWh]</t>
  </si>
  <si>
    <t>Investment costs [CHF/MW]</t>
  </si>
  <si>
    <t>Investment costs charging facility [CHF/MW]</t>
  </si>
  <si>
    <t>Investment energy costs [CHF/MWh]</t>
  </si>
  <si>
    <t>O&amp;M Prod [CHF/MWh_el]</t>
  </si>
  <si>
    <t>investment_cost_charge_chfMW</t>
  </si>
  <si>
    <t xml:space="preserve">Investment fuel storage costs [CHF/MWh_th] </t>
  </si>
  <si>
    <t>amortization years</t>
  </si>
  <si>
    <t>windof</t>
  </si>
  <si>
    <t>efficiency (storage -&gt; grid)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</si>
</sst>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0"/>
      <color theme="1"/>
      <name val="Arial"/>
      <family val="2"/>
    </font>
    <font>
      <sz val="10"/>
      <color theme="1"/>
      <name val="Arial"/>
      <family val="2"/>
    </font>
    <font>
      <sz val="18"/>
      <color theme="3"/>
      <name val="Aptos Display"/>
      <family val="2"/>
      <scheme val="major"/>
    </font>
    <font>
      <b/>
      <sz val="15"/>
      <color theme="3"/>
      <name val="Arial"/>
      <family val="2"/>
    </font>
    <font>
      <b/>
      <sz val="13"/>
      <color theme="3"/>
      <name val="Arial"/>
      <family val="2"/>
    </font>
    <font>
      <b/>
      <sz val="11"/>
      <color theme="3"/>
      <name val="Arial"/>
      <family val="2"/>
    </font>
    <font>
      <sz val="10"/>
      <color rgb="FF006100"/>
      <name val="Arial"/>
      <family val="2"/>
    </font>
    <font>
      <sz val="10"/>
      <color rgb="FF9C0006"/>
      <name val="Arial"/>
      <family val="2"/>
    </font>
    <font>
      <sz val="10"/>
      <color rgb="FF9C5700"/>
      <name val="Arial"/>
      <family val="2"/>
    </font>
    <font>
      <sz val="10"/>
      <color rgb="FF3F3F76"/>
      <name val="Arial"/>
      <family val="2"/>
    </font>
    <font>
      <b/>
      <sz val="10"/>
      <color rgb="FF3F3F3F"/>
      <name val="Arial"/>
      <family val="2"/>
    </font>
    <font>
      <b/>
      <sz val="10"/>
      <color rgb="FFFA7D00"/>
      <name val="Arial"/>
      <family val="2"/>
    </font>
    <font>
      <sz val="10"/>
      <color rgb="FFFA7D00"/>
      <name val="Arial"/>
      <family val="2"/>
    </font>
    <font>
      <b/>
      <sz val="10"/>
      <color theme="0"/>
      <name val="Arial"/>
      <family val="2"/>
    </font>
    <font>
      <sz val="10"/>
      <color rgb="FFFF0000"/>
      <name val="Arial"/>
      <family val="2"/>
    </font>
    <font>
      <i/>
      <sz val="10"/>
      <color rgb="FF7F7F7F"/>
      <name val="Arial"/>
      <family val="2"/>
    </font>
    <font>
      <b/>
      <sz val="10"/>
      <color theme="1"/>
      <name val="Arial"/>
      <family val="2"/>
    </font>
    <font>
      <sz val="10"/>
      <color theme="0"/>
      <name val="Arial"/>
      <family val="2"/>
    </font>
    <font>
      <sz val="10"/>
      <name val="Arial"/>
      <family val="2"/>
    </font>
  </fonts>
  <fills count="4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79998168889431442"/>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3" tint="0.89999084444715716"/>
        <bgColor indexed="64"/>
      </patternFill>
    </fill>
    <fill>
      <patternFill patternType="solid">
        <fgColor theme="9" tint="0.79998168889431442"/>
        <bgColor indexed="64"/>
      </patternFill>
    </fill>
    <fill>
      <patternFill patternType="solid">
        <fgColor theme="2" tint="-9.9978637043366805E-2"/>
        <bgColor indexed="64"/>
      </patternFill>
    </fill>
    <fill>
      <patternFill patternType="solid">
        <fgColor theme="8" tint="0.399975585192419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1">
    <xf numFmtId="0" fontId="0" fillId="0" borderId="0" xfId="0"/>
    <xf numFmtId="0" fontId="14" fillId="0" borderId="0" xfId="0" applyFont="1"/>
    <xf numFmtId="0" fontId="18" fillId="0" borderId="0" xfId="0" applyFont="1"/>
    <xf numFmtId="0" fontId="0" fillId="33" borderId="0" xfId="0" applyFill="1"/>
    <xf numFmtId="0" fontId="0" fillId="34" borderId="0" xfId="0" applyFill="1"/>
    <xf numFmtId="0" fontId="18" fillId="33" borderId="0" xfId="0" applyFont="1" applyFill="1"/>
    <xf numFmtId="0" fontId="0" fillId="35" borderId="0" xfId="0" applyFill="1"/>
    <xf numFmtId="0" fontId="18" fillId="35" borderId="0" xfId="0" applyFont="1" applyFill="1"/>
    <xf numFmtId="0" fontId="18" fillId="36" borderId="0" xfId="0" applyFont="1" applyFill="1"/>
    <xf numFmtId="0" fontId="0" fillId="37" borderId="0" xfId="0" applyFill="1"/>
    <xf numFmtId="0" fontId="18" fillId="37" borderId="0" xfId="0" applyFont="1" applyFill="1"/>
    <xf numFmtId="0" fontId="0" fillId="0" borderId="0" xfId="0" applyFill="1"/>
    <xf numFmtId="0" fontId="0" fillId="38" borderId="0" xfId="0" applyFill="1"/>
    <xf numFmtId="0" fontId="18" fillId="38" borderId="0" xfId="0" applyFont="1" applyFill="1"/>
    <xf numFmtId="0" fontId="0" fillId="0" borderId="0" xfId="0" applyFont="1"/>
    <xf numFmtId="0" fontId="0" fillId="38" borderId="0" xfId="0" applyFont="1" applyFill="1"/>
    <xf numFmtId="0" fontId="0" fillId="37" borderId="0" xfId="0" applyFont="1" applyFill="1"/>
    <xf numFmtId="0" fontId="0" fillId="39" borderId="0" xfId="0" applyFill="1"/>
    <xf numFmtId="0" fontId="0" fillId="39" borderId="0" xfId="0" applyFont="1" applyFill="1"/>
    <xf numFmtId="0" fontId="18" fillId="0" borderId="0" xfId="0" applyFont="1" applyFill="1"/>
    <xf numFmtId="0" fontId="14" fillId="0" borderId="0" xfId="0" applyFont="1" applyFill="1" applyAlignment="1">
      <alignment horizontal="center"/>
    </xf>
  </cellXfs>
  <cellStyles count="42">
    <cellStyle name="20 % - Akzent1" xfId="19" builtinId="30" customBuiltin="1"/>
    <cellStyle name="20 % - Akzent2" xfId="23" builtinId="34" customBuiltin="1"/>
    <cellStyle name="20 % - Akzent3" xfId="27" builtinId="38" customBuiltin="1"/>
    <cellStyle name="20 % - Akzent4" xfId="31" builtinId="42" customBuiltin="1"/>
    <cellStyle name="20 % - Akzent5" xfId="35" builtinId="46" customBuiltin="1"/>
    <cellStyle name="20 % - Akzent6" xfId="39" builtinId="50" customBuiltin="1"/>
    <cellStyle name="40 % - Akzent1" xfId="20" builtinId="31" customBuiltin="1"/>
    <cellStyle name="40 % - Akzent2" xfId="24" builtinId="35" customBuiltin="1"/>
    <cellStyle name="40 % - Akzent3" xfId="28" builtinId="39" customBuiltin="1"/>
    <cellStyle name="40 % - Akzent4" xfId="32" builtinId="43" customBuiltin="1"/>
    <cellStyle name="40 % - Akzent5" xfId="36" builtinId="47" customBuiltin="1"/>
    <cellStyle name="40 % - Akzent6" xfId="40" builtinId="51" customBuiltin="1"/>
    <cellStyle name="60 % - Akzent1" xfId="21" builtinId="32" customBuiltin="1"/>
    <cellStyle name="60 % - Akzent2" xfId="25" builtinId="36" customBuiltin="1"/>
    <cellStyle name="60 % - Akzent3" xfId="29" builtinId="40" customBuiltin="1"/>
    <cellStyle name="60 % - Akzent4" xfId="33" builtinId="44" customBuiltin="1"/>
    <cellStyle name="60 % - Akzent5" xfId="37" builtinId="48" customBuiltin="1"/>
    <cellStyle name="60 % - Akzent6" xfId="41" builtinId="52" customBuiltin="1"/>
    <cellStyle name="Akzent1" xfId="18" builtinId="29" customBuiltin="1"/>
    <cellStyle name="Akzent2" xfId="22" builtinId="33" customBuiltin="1"/>
    <cellStyle name="Akzent3" xfId="26" builtinId="37" customBuiltin="1"/>
    <cellStyle name="Akzent4" xfId="30" builtinId="41" customBuiltin="1"/>
    <cellStyle name="Akzent5" xfId="34" builtinId="45" customBuiltin="1"/>
    <cellStyle name="Akzent6" xfId="38" builtinId="49" customBuiltin="1"/>
    <cellStyle name="Ausgabe" xfId="10" builtinId="21" customBuiltin="1"/>
    <cellStyle name="Berechnung" xfId="11" builtinId="22" customBuiltin="1"/>
    <cellStyle name="Eingabe" xfId="9" builtinId="20" customBuiltin="1"/>
    <cellStyle name="Ergebnis" xfId="17" builtinId="25" customBuiltin="1"/>
    <cellStyle name="Erklärender Text" xfId="16" builtinId="53" customBuiltin="1"/>
    <cellStyle name="Gut" xfId="6" builtinId="26" customBuiltin="1"/>
    <cellStyle name="Neutral" xfId="8" builtinId="28" customBuiltin="1"/>
    <cellStyle name="Notiz" xfId="15" builtinId="10" customBuiltin="1"/>
    <cellStyle name="Schlecht" xfId="7" builtinId="27" customBuiltin="1"/>
    <cellStyle name="Standard" xfId="0" builtinId="0"/>
    <cellStyle name="Überschrift" xfId="1" builtinId="15" customBuiltin="1"/>
    <cellStyle name="Überschrift 1" xfId="2" builtinId="16" customBuiltin="1"/>
    <cellStyle name="Überschrift 2" xfId="3" builtinId="17" customBuiltin="1"/>
    <cellStyle name="Überschrift 3" xfId="4" builtinId="18" customBuiltin="1"/>
    <cellStyle name="Überschrift 4" xfId="5" builtinId="19" customBuiltin="1"/>
    <cellStyle name="Verknüpfte Zelle" xfId="12" builtinId="24" customBuiltin="1"/>
    <cellStyle name="Warnender Text" xfId="14" builtinId="11" customBuiltin="1"/>
    <cellStyle name="Zelle überprüfen" xfId="13" builtinId="23"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3.xml"/><Relationship Id="rId5" Type="http://schemas.openxmlformats.org/officeDocument/2006/relationships/styles" Target="styles.xml"/><Relationship Id="rId10" Type="http://schemas.openxmlformats.org/officeDocument/2006/relationships/customXml" Target="../customXml/item2.xml"/><Relationship Id="rId4" Type="http://schemas.openxmlformats.org/officeDocument/2006/relationships/theme" Target="theme/theme1.xml"/><Relationship Id="rId9" Type="http://schemas.openxmlformats.org/officeDocument/2006/relationships/customXml" Target="../customXml/item1.xml"/></Relationships>
</file>

<file path=xl/persons/person.xml><?xml version="1.0" encoding="utf-8"?>
<personList xmlns="http://schemas.microsoft.com/office/spreadsheetml/2018/threadedcomments" xmlns:x="http://schemas.openxmlformats.org/spreadsheetml/2006/main">
  <person displayName="Holmer David (home)" id="{E5CFC1CE-D7A6-48D9-8448-B4EE9C5079C2}" userId="S::home@zhaw.ch::5bd4c923-79b8-4627-8434-7fa77a97b9c9" providerId="AD"/>
</personList>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C4" dT="2025-12-04T14:05:27.14" personId="{E5CFC1CE-D7A6-48D9-8448-B4EE9C5079C2}" id="{81434241-78AD-4B3A-9F90-EDCC3E1FDDF1}">
    <text xml:space="preserve">https://ars.els-cdn.com/content/image/1-s2.0-S0196890424003674-mmc1.pdf
Table 5S
</text>
    <extLst>
      <x:ext xmlns:xltc2="http://schemas.microsoft.com/office/spreadsheetml/2020/threadedcomments2" uri="{F7C98A9C-CBB3-438F-8F68-D28B6AF4A901}">
        <xltc2:checksum>1728712412</xltc2:checksum>
        <xltc2:hyperlink startIndex="0" length="71" url="https://ars.els-cdn.com/content/image/1-s2.0-S0196890424003674-mmc1.pdf"/>
      </x:ext>
    </extLst>
  </threadedComment>
  <threadedComment ref="D4" dT="2025-12-04T14:05:27.14" personId="{E5CFC1CE-D7A6-48D9-8448-B4EE9C5079C2}" id="{BC2775AE-F7BC-41FE-87E9-7D2917EC127C}">
    <text xml:space="preserve">https://ars.els-cdn.com/content/image/1-s2.0-S0196890424003674-mmc1.pdf
Table 5S
</text>
    <extLst>
      <x:ext xmlns:xltc2="http://schemas.microsoft.com/office/spreadsheetml/2020/threadedcomments2" uri="{F7C98A9C-CBB3-438F-8F68-D28B6AF4A901}">
        <xltc2:checksum>1728712412</xltc2:checksum>
        <xltc2:hyperlink startIndex="0" length="71" url="https://ars.els-cdn.com/content/image/1-s2.0-S0196890424003674-mmc1.pdf"/>
      </x:ext>
    </extLst>
  </threadedComment>
  <threadedComment ref="F4" dT="2025-12-04T14:53:27.94" personId="{E5CFC1CE-D7A6-48D9-8448-B4EE9C5079C2}" id="{26BCBB34-B0F5-45AA-BEAE-3E541ED425E9}">
    <text>https://ars.els-cdn.com/content/image/1-s2.0-S0196890424003674-mmc1.pdf
Table 5S</text>
    <extLst>
      <x:ext xmlns:xltc2="http://schemas.microsoft.com/office/spreadsheetml/2020/threadedcomments2" uri="{F7C98A9C-CBB3-438F-8F68-D28B6AF4A901}">
        <xltc2:checksum>950298388</xltc2:checksum>
        <xltc2:hyperlink startIndex="0" length="71" url="https://ars.els-cdn.com/content/image/1-s2.0-S0196890424003674-mmc1.pdf"/>
      </x:ext>
    </extLst>
  </threadedComment>
  <threadedComment ref="H4" dT="2025-12-02T11:24:34.89" personId="{E5CFC1CE-D7A6-48D9-8448-B4EE9C5079C2}" id="{A84FB54D-EC47-4975-B087-A2C5AD5E29CA}">
    <text>Numbers from 
https://www.energy-storage.news/behind-the-numbers-bnef-finds-40-year-on-year-drop-in-bess-costs/
Ratio between storage and power capacity from 
https://ars.els-cdn.com/content/image/1-s2.0-S0196890424003674-mmc1.pdf
Table 5S
Assuming a learning rate of ⅓ per 10 years.
Additionally, BESS are expected to earn a significant share of their revenue from other sources out of the scope of this project, i.e. the investment costs have been halfed to reflect that.</text>
    <extLst>
      <x:ext xmlns:xltc2="http://schemas.microsoft.com/office/spreadsheetml/2020/threadedcomments2" uri="{F7C98A9C-CBB3-438F-8F68-D28B6AF4A901}">
        <xltc2:checksum>2482573058</xltc2:checksum>
        <xltc2:hyperlink startIndex="15" length="97" url="https://www.energy-storage.news/behind-the-numbers-bnef-finds-40-year-on-year-drop-in-bess-costs/"/>
        <xltc2:hyperlink startIndex="161" length="71" url="https://ars.els-cdn.com/content/image/1-s2.0-S0196890424003674-mmc1.pdf"/>
      </x:ext>
    </extLst>
  </threadedComment>
  <threadedComment ref="J4" dT="2025-12-02T11:24:48.19" personId="{E5CFC1CE-D7A6-48D9-8448-B4EE9C5079C2}" id="{EAEB22C7-1FE8-4935-873C-3973CE40B826}">
    <text xml:space="preserve">Numbers from 
https://www.energy-storage.news/behind-the-numbers-bnef-finds-40-year-on-year-drop-in-bess-costs/
Ratio between storage and power capacity from 
https://ars.els-cdn.com/content/image/1-s2.0-S0196890424003674-mmc1.pdf
Table 5S
Assuming a learning rate of ⅓ per 10 years.
Additionally, BESS are expected to earn a significant share of their revenue from other sources out of the scope of this project, i.e. the investment costs have been halfed to reflect that.
</text>
    <extLst>
      <x:ext xmlns:xltc2="http://schemas.microsoft.com/office/spreadsheetml/2020/threadedcomments2" uri="{F7C98A9C-CBB3-438F-8F68-D28B6AF4A901}">
        <xltc2:checksum>257606023</xltc2:checksum>
        <xltc2:hyperlink startIndex="15" length="97" url="https://www.energy-storage.news/behind-the-numbers-bnef-finds-40-year-on-year-drop-in-bess-costs/"/>
        <xltc2:hyperlink startIndex="161" length="71" url="https://ars.els-cdn.com/content/image/1-s2.0-S0196890424003674-mmc1.pdf"/>
      </x:ext>
    </extLst>
  </threadedComment>
  <threadedComment ref="L4" dT="2025-12-01T16:06:14.38" personId="{E5CFC1CE-D7A6-48D9-8448-B4EE9C5079C2}" id="{12AED177-1916-4E15-8129-FE68F298A24E}">
    <text>To avoid simultaneous charging and discharging as curtailment replacement</text>
  </threadedComment>
  <threadedComment ref="M4" dT="2025-12-04T14:00:28.93" personId="{E5CFC1CE-D7A6-48D9-8448-B4EE9C5079C2}" id="{1D99EF52-DBC2-4422-BD5A-3ECCBF43FE1B}">
    <text>https://ars.els-cdn.com/content/image/1-s2.0-S0196890424003674-mmc1.pdf
Table 5S</text>
    <extLst>
      <x:ext xmlns:xltc2="http://schemas.microsoft.com/office/spreadsheetml/2020/threadedcomments2" uri="{F7C98A9C-CBB3-438F-8F68-D28B6AF4A901}">
        <xltc2:checksum>950298388</xltc2:checksum>
        <xltc2:hyperlink startIndex="0" length="71" url="https://ars.els-cdn.com/content/image/1-s2.0-S0196890424003674-mmc1.pdf"/>
      </x:ext>
    </extLst>
  </threadedComment>
  <threadedComment ref="C5" dT="2025-12-04T14:05:27.14" personId="{E5CFC1CE-D7A6-48D9-8448-B4EE9C5079C2}" id="{7AF66630-0F11-46E5-B92D-3F675921BB97}">
    <text xml:space="preserve">https://ars.els-cdn.com/content/image/1-s2.0-S0196890424003674-mmc1.pdf
Table 5S
</text>
    <extLst>
      <x:ext xmlns:xltc2="http://schemas.microsoft.com/office/spreadsheetml/2020/threadedcomments2" uri="{F7C98A9C-CBB3-438F-8F68-D28B6AF4A901}">
        <xltc2:checksum>1728712412</xltc2:checksum>
        <xltc2:hyperlink startIndex="0" length="71" url="https://ars.els-cdn.com/content/image/1-s2.0-S0196890424003674-mmc1.pdf"/>
      </x:ext>
    </extLst>
  </threadedComment>
  <threadedComment ref="D5" dT="2025-12-04T14:05:27.14" personId="{E5CFC1CE-D7A6-48D9-8448-B4EE9C5079C2}" id="{352BDA07-1219-4271-B964-2576FC1327C3}">
    <text xml:space="preserve">https://ars.els-cdn.com/content/image/1-s2.0-S0196890424003674-mmc1.pdf
Table 5S
</text>
    <extLst>
      <x:ext xmlns:xltc2="http://schemas.microsoft.com/office/spreadsheetml/2020/threadedcomments2" uri="{F7C98A9C-CBB3-438F-8F68-D28B6AF4A901}">
        <xltc2:checksum>1728712412</xltc2:checksum>
        <xltc2:hyperlink startIndex="0" length="71" url="https://ars.els-cdn.com/content/image/1-s2.0-S0196890424003674-mmc1.pdf"/>
      </x:ext>
    </extLst>
  </threadedComment>
  <threadedComment ref="F5" dT="2025-12-04T14:53:32.18" personId="{E5CFC1CE-D7A6-48D9-8448-B4EE9C5079C2}" id="{FA4DF42C-38AC-4CDF-B395-58F7F29134A1}">
    <text xml:space="preserve">https://ars.els-cdn.com/content/image/1-s2.0-S0196890424003674-mmc1.pdf
Table 5S
</text>
    <extLst>
      <x:ext xmlns:xltc2="http://schemas.microsoft.com/office/spreadsheetml/2020/threadedcomments2" uri="{F7C98A9C-CBB3-438F-8F68-D28B6AF4A901}">
        <xltc2:checksum>1728712412</xltc2:checksum>
        <xltc2:hyperlink startIndex="0" length="71" url="https://ars.els-cdn.com/content/image/1-s2.0-S0196890424003674-mmc1.pdf"/>
      </x:ext>
    </extLst>
  </threadedComment>
  <threadedComment ref="H5" dT="2025-12-02T11:24:41.10" personId="{E5CFC1CE-D7A6-48D9-8448-B4EE9C5079C2}" id="{A2457545-E7C1-4F17-AFBE-B1783A6536C1}">
    <text xml:space="preserve">Numbers from 
https://www.energy-storage.news/behind-the-numbers-bnef-finds-40-year-on-year-drop-in-bess-costs/
Ratio between storage and power capacity from 
https://ars.els-cdn.com/content/image/1-s2.0-S0196890424003674-mmc1.pdf
Table 5S
Assuming a learning rate of ⅓ per 10 years.
Additionally, BESS are expected to earn a significant share of their revenue from other sources out of the scope of this project, i.e. the investment costs have been halfed to reflect that.
</text>
    <extLst>
      <x:ext xmlns:xltc2="http://schemas.microsoft.com/office/spreadsheetml/2020/threadedcomments2" uri="{F7C98A9C-CBB3-438F-8F68-D28B6AF4A901}">
        <xltc2:checksum>257606023</xltc2:checksum>
        <xltc2:hyperlink startIndex="15" length="97" url="https://www.energy-storage.news/behind-the-numbers-bnef-finds-40-year-on-year-drop-in-bess-costs/"/>
        <xltc2:hyperlink startIndex="161" length="71" url="https://ars.els-cdn.com/content/image/1-s2.0-S0196890424003674-mmc1.pdf"/>
      </x:ext>
    </extLst>
  </threadedComment>
  <threadedComment ref="J5" dT="2025-12-02T11:24:52.00" personId="{E5CFC1CE-D7A6-48D9-8448-B4EE9C5079C2}" id="{F25826FC-AFA3-4118-9992-6CE07EE4C01F}">
    <text xml:space="preserve">Numbers from 
https://www.energy-storage.news/behind-the-numbers-bnef-finds-40-year-on-year-drop-in-bess-costs/
Ratio between storage and power capacity from 
https://ars.els-cdn.com/content/image/1-s2.0-S0196890424003674-mmc1.pdf
Table 5S
Assuming a learning rate of ⅓ per 10 years.
Additionally, BESS are expected to earn a significant share of their revenue from other sources out of the scope of this project, i.e. the investment costs have been halfed to reflect that.
</text>
    <extLst>
      <x:ext xmlns:xltc2="http://schemas.microsoft.com/office/spreadsheetml/2020/threadedcomments2" uri="{F7C98A9C-CBB3-438F-8F68-D28B6AF4A901}">
        <xltc2:checksum>257606023</xltc2:checksum>
        <xltc2:hyperlink startIndex="15" length="97" url="https://www.energy-storage.news/behind-the-numbers-bnef-finds-40-year-on-year-drop-in-bess-costs/"/>
        <xltc2:hyperlink startIndex="161" length="71" url="https://ars.els-cdn.com/content/image/1-s2.0-S0196890424003674-mmc1.pdf"/>
      </x:ext>
    </extLst>
  </threadedComment>
  <threadedComment ref="L5" dT="2025-12-01T16:06:14.38" personId="{E5CFC1CE-D7A6-48D9-8448-B4EE9C5079C2}" id="{8BA7F6A2-06F8-4AF7-B944-75FC98436966}">
    <text>To avoid simultaneous charging and discharging as curtailment replacement</text>
  </threadedComment>
  <threadedComment ref="M5" dT="2025-12-04T14:00:28.93" personId="{E5CFC1CE-D7A6-48D9-8448-B4EE9C5079C2}" id="{70A0F264-D1AD-4C66-B5E5-6404C10064CA}">
    <text>https://ars.els-cdn.com/content/image/1-s2.0-S0196890424003674-mmc1.pdf
Table 5S</text>
    <extLst>
      <x:ext xmlns:xltc2="http://schemas.microsoft.com/office/spreadsheetml/2020/threadedcomments2" uri="{F7C98A9C-CBB3-438F-8F68-D28B6AF4A901}">
        <xltc2:checksum>950298388</xltc2:checksum>
        <xltc2:hyperlink startIndex="0" length="71" url="https://ars.els-cdn.com/content/image/1-s2.0-S0196890424003674-mmc1.pdf"/>
      </x:ext>
    </extLst>
  </threadedComment>
  <threadedComment ref="C6" dT="2025-12-04T15:54:31.04" personId="{E5CFC1CE-D7A6-48D9-8448-B4EE9C5079C2}" id="{BF48C75C-E482-4C76-8EB5-F761F9353FFE}">
    <text xml:space="preserve">https://sweet-cross.ch/data/technology-assumptions-models/2023-02-28/
In Nexuse_ETHZ_technologies.csv (10 kB) </text>
    <extLst>
      <x:ext xmlns:xltc2="http://schemas.microsoft.com/office/spreadsheetml/2020/threadedcomments2" uri="{F7C98A9C-CBB3-438F-8F68-D28B6AF4A901}">
        <xltc2:checksum>2139121578</xltc2:checksum>
        <xltc2:hyperlink startIndex="0" length="69" url="https://sweet-cross.ch/data/technology-assumptions-models/2023-02-28/"/>
        <xltc2:hyperlink startIndex="74" length="28" url="https://sweet-cross.ethz.ch/data/technology-assumptions-models/2023-02-28/Nexuse_ETHZ_technologies.csv"/>
      </x:ext>
    </extLst>
  </threadedComment>
  <threadedComment ref="G6" dT="2025-12-01T16:12:43.85" personId="{E5CFC1CE-D7A6-48D9-8448-B4EE9C5079C2}" id="{E532A96F-DB7C-4E34-A58D-0AF2B12773A8}">
    <text>https://www.bfe.admin.ch/bfe/en/home/policy/energy-perspectives-2050-plus.html/
Table 7 „feste Biomasse“</text>
    <extLst>
      <x:ext xmlns:xltc2="http://schemas.microsoft.com/office/spreadsheetml/2020/threadedcomments2" uri="{F7C98A9C-CBB3-438F-8F68-D28B6AF4A901}">
        <xltc2:checksum>3132307827</xltc2:checksum>
        <xltc2:hyperlink startIndex="0" length="79" url="https://www.bfe.admin.ch/bfe/en/home/policy/energy-perspectives-2050-plus.html/"/>
      </x:ext>
    </extLst>
  </threadedComment>
  <threadedComment ref="C7" dT="2025-12-04T15:54:36.11" personId="{E5CFC1CE-D7A6-48D9-8448-B4EE9C5079C2}" id="{15607743-7E34-4E57-9D57-2A1A282797BE}">
    <text xml:space="preserve">https://sweet-cross.ch/data/technology-assumptions-models/2023-02-28/
In Nexuse_ETHZ_technologies.csv (10 kB) </text>
    <extLst>
      <x:ext xmlns:xltc2="http://schemas.microsoft.com/office/spreadsheetml/2020/threadedcomments2" uri="{F7C98A9C-CBB3-438F-8F68-D28B6AF4A901}">
        <xltc2:checksum>2139121578</xltc2:checksum>
        <xltc2:hyperlink startIndex="0" length="69" url="https://sweet-cross.ch/data/technology-assumptions-models/2023-02-28/"/>
        <xltc2:hyperlink startIndex="74" length="28" url="https://sweet-cross.ethz.ch/data/technology-assumptions-models/2023-02-28/Nexuse_ETHZ_technologies.csv"/>
      </x:ext>
    </extLst>
  </threadedComment>
  <threadedComment ref="G7" dT="2025-12-01T16:12:47.61" personId="{E5CFC1CE-D7A6-48D9-8448-B4EE9C5079C2}" id="{8A5F29BA-71E3-4F80-8500-A3F7C9C059F8}">
    <text xml:space="preserve">https://www.bfe.admin.ch/bfe/en/home/policy/energy-perspectives-2050-plus.html/
Table 7 „feste Biomasse“
</text>
    <extLst>
      <x:ext xmlns:xltc2="http://schemas.microsoft.com/office/spreadsheetml/2020/threadedcomments2" uri="{F7C98A9C-CBB3-438F-8F68-D28B6AF4A901}">
        <xltc2:checksum>960223585</xltc2:checksum>
        <xltc2:hyperlink startIndex="0" length="79" url="https://www.bfe.admin.ch/bfe/en/home/policy/energy-perspectives-2050-plus.html/"/>
      </x:ext>
    </extLst>
  </threadedComment>
  <threadedComment ref="C8" dT="2025-12-04T16:27:36.80" personId="{E5CFC1CE-D7A6-48D9-8448-B4EE9C5079C2}" id="{50A3938C-0BE4-4AF5-98F5-CB7DAB24807D}">
    <text>https://ars.els-cdn.com/content/image/1-s2.0-S0196890424003674-mmc1.pdf
Table 4S</text>
    <extLst>
      <x:ext xmlns:xltc2="http://schemas.microsoft.com/office/spreadsheetml/2020/threadedcomments2" uri="{F7C98A9C-CBB3-438F-8F68-D28B6AF4A901}">
        <xltc2:checksum>2544133908</xltc2:checksum>
        <xltc2:hyperlink startIndex="0" length="71" url="https://ars.els-cdn.com/content/image/1-s2.0-S0196890424003674-mmc1.pdf"/>
      </x:ext>
    </extLst>
  </threadedComment>
  <threadedComment ref="E8" dT="2025-12-03T16:25:31.99" personId="{E5CFC1CE-D7A6-48D9-8448-B4EE9C5079C2}" id="{110C77C0-12F0-4BB0-8D7C-4C6A7E5DE15B}">
    <text>https://www.kbob.admin.ch/dam/de/sd-web/Ov7IumBLw3iS/20230116_Faktenblatt_CO2-Emissionsfaktoren_04-2024_DE.pdf
Table 2, 2023 value transformed to t/MWh
Assuming a carbon capture rate of 90%</text>
    <extLst>
      <x:ext xmlns:xltc2="http://schemas.microsoft.com/office/spreadsheetml/2020/threadedcomments2" uri="{F7C98A9C-CBB3-438F-8F68-D28B6AF4A901}">
        <xltc2:checksum>2913318601</xltc2:checksum>
        <xltc2:hyperlink startIndex="0" length="110" url="https://www.kbob.admin.ch/dam/de/sd-web/Ov7IumBLw3iS/20230116_Faktenblatt_CO2-Emissionsfaktoren_04-2024_DE.pdf"/>
      </x:ext>
    </extLst>
  </threadedComment>
  <threadedComment ref="F8" dT="2025-12-05T10:44:35.84" personId="{E5CFC1CE-D7A6-48D9-8448-B4EE9C5079C2}" id="{CF615B6D-56BF-4664-95DE-102A3EED3387}">
    <text>https://ars.els-cdn.com/content/image/1-s2.0-S0196890424003674-mmc1.pdf
Table 4S</text>
    <extLst>
      <x:ext xmlns:xltc2="http://schemas.microsoft.com/office/spreadsheetml/2020/threadedcomments2" uri="{F7C98A9C-CBB3-438F-8F68-D28B6AF4A901}">
        <xltc2:checksum>2544133908</xltc2:checksum>
        <xltc2:hyperlink startIndex="0" length="71" url="https://ars.els-cdn.com/content/image/1-s2.0-S0196890424003674-mmc1.pdf"/>
      </x:ext>
    </extLst>
  </threadedComment>
  <threadedComment ref="G8" dT="2025-12-01T16:36:17.78" personId="{E5CFC1CE-D7A6-48D9-8448-B4EE9C5079C2}" id="{58AC5F66-888F-4F1E-9B30-881E7CC81CD1}">
    <text>Same as gas</text>
  </threadedComment>
  <threadedComment ref="H8" dT="2025-12-05T10:42:34.39" personId="{E5CFC1CE-D7A6-48D9-8448-B4EE9C5079C2}" id="{B1CB05E9-F439-46CF-BCD6-B6FA34BEEAD3}">
    <text xml:space="preserve">https://ars.els-cdn.com/content/image/1-s2.0-S0196890424003674-mmc1.pdf
Table 4S
</text>
    <extLst>
      <x:ext xmlns:xltc2="http://schemas.microsoft.com/office/spreadsheetml/2020/threadedcomments2" uri="{F7C98A9C-CBB3-438F-8F68-D28B6AF4A901}">
        <xltc2:checksum>1733188572</xltc2:checksum>
        <xltc2:hyperlink startIndex="0" length="71" url="https://ars.els-cdn.com/content/image/1-s2.0-S0196890424003674-mmc1.pdf"/>
      </x:ext>
    </extLst>
  </threadedComment>
  <threadedComment ref="L8" dT="2025-12-05T10:47:23.15" personId="{E5CFC1CE-D7A6-48D9-8448-B4EE9C5079C2}" id="{40614DCC-CC1C-4343-9716-8E5CB097558D}">
    <text xml:space="preserve">https://ars.els-cdn.com/content/image/1-s2.0-S0196890424003674-mmc1.pdf
Table 4S
</text>
    <extLst>
      <x:ext xmlns:xltc2="http://schemas.microsoft.com/office/spreadsheetml/2020/threadedcomments2" uri="{F7C98A9C-CBB3-438F-8F68-D28B6AF4A901}">
        <xltc2:checksum>1733188572</xltc2:checksum>
        <xltc2:hyperlink startIndex="0" length="71" url="https://ars.els-cdn.com/content/image/1-s2.0-S0196890424003674-mmc1.pdf"/>
      </x:ext>
    </extLst>
  </threadedComment>
  <threadedComment ref="M8" dT="2025-12-04T16:30:25.88" personId="{E5CFC1CE-D7A6-48D9-8448-B4EE9C5079C2}" id="{BA5F043F-F309-4A91-98A2-476A8E82BCAF}">
    <text>https://ars.els-cdn.com/content/image/1-s2.0-S0196890424003674-mmc1.pdf
Table 4S</text>
    <extLst>
      <x:ext xmlns:xltc2="http://schemas.microsoft.com/office/spreadsheetml/2020/threadedcomments2" uri="{F7C98A9C-CBB3-438F-8F68-D28B6AF4A901}">
        <xltc2:checksum>2544133908</xltc2:checksum>
        <xltc2:hyperlink startIndex="0" length="71" url="https://ars.els-cdn.com/content/image/1-s2.0-S0196890424003674-mmc1.pdf"/>
      </x:ext>
    </extLst>
  </threadedComment>
  <threadedComment ref="C9" dT="2025-12-04T16:27:36.80" personId="{E5CFC1CE-D7A6-48D9-8448-B4EE9C5079C2}" id="{8F50F181-E41E-4B3E-BF7E-1A0F120A40D1}">
    <text>https://ars.els-cdn.com/content/image/1-s2.0-S0196890424003674-mmc1.pdf
Table 4S</text>
    <extLst>
      <x:ext xmlns:xltc2="http://schemas.microsoft.com/office/spreadsheetml/2020/threadedcomments2" uri="{F7C98A9C-CBB3-438F-8F68-D28B6AF4A901}">
        <xltc2:checksum>2544133908</xltc2:checksum>
        <xltc2:hyperlink startIndex="0" length="71" url="https://ars.els-cdn.com/content/image/1-s2.0-S0196890424003674-mmc1.pdf"/>
      </x:ext>
    </extLst>
  </threadedComment>
  <threadedComment ref="E9" dT="2025-12-03T16:25:31.99" personId="{E5CFC1CE-D7A6-48D9-8448-B4EE9C5079C2}" id="{A5FC83E4-F1DE-40F2-9E27-C40312A3D664}">
    <text>https://www.kbob.admin.ch/dam/de/sd-web/Ov7IumBLw3iS/20230116_Faktenblatt_CO2-Emissionsfaktoren_04-2024_DE.pdf
Table 2, 2023 value transformed to t/MWh
Assuming a carbon capture rate of 90%</text>
    <extLst>
      <x:ext xmlns:xltc2="http://schemas.microsoft.com/office/spreadsheetml/2020/threadedcomments2" uri="{F7C98A9C-CBB3-438F-8F68-D28B6AF4A901}">
        <xltc2:checksum>2913318601</xltc2:checksum>
        <xltc2:hyperlink startIndex="0" length="110" url="https://www.kbob.admin.ch/dam/de/sd-web/Ov7IumBLw3iS/20230116_Faktenblatt_CO2-Emissionsfaktoren_04-2024_DE.pdf"/>
      </x:ext>
    </extLst>
  </threadedComment>
  <threadedComment ref="F9" dT="2025-12-05T10:44:38.81" personId="{E5CFC1CE-D7A6-48D9-8448-B4EE9C5079C2}" id="{AFF3DB26-99F8-421B-A976-9B4F7D250A8B}">
    <text xml:space="preserve">https://ars.els-cdn.com/content/image/1-s2.0-S0196890424003674-mmc1.pdf
Table 4S
</text>
    <extLst>
      <x:ext xmlns:xltc2="http://schemas.microsoft.com/office/spreadsheetml/2020/threadedcomments2" uri="{F7C98A9C-CBB3-438F-8F68-D28B6AF4A901}">
        <xltc2:checksum>1733188572</xltc2:checksum>
        <xltc2:hyperlink startIndex="0" length="71" url="https://ars.els-cdn.com/content/image/1-s2.0-S0196890424003674-mmc1.pdf"/>
      </x:ext>
    </extLst>
  </threadedComment>
  <threadedComment ref="G9" dT="2025-12-01T16:36:21.90" personId="{E5CFC1CE-D7A6-48D9-8448-B4EE9C5079C2}" id="{AF1E83E6-8CA1-424C-ADE7-7FA1E3883CCC}">
    <text>Same as gas</text>
  </threadedComment>
  <threadedComment ref="H9" dT="2025-12-05T10:42:40.54" personId="{E5CFC1CE-D7A6-48D9-8448-B4EE9C5079C2}" id="{A21D6150-9406-442D-A898-FDADABD02CC2}">
    <text xml:space="preserve">https://ars.els-cdn.com/content/image/1-s2.0-S0196890424003674-mmc1.pdf
Table 4S
</text>
    <extLst>
      <x:ext xmlns:xltc2="http://schemas.microsoft.com/office/spreadsheetml/2020/threadedcomments2" uri="{F7C98A9C-CBB3-438F-8F68-D28B6AF4A901}">
        <xltc2:checksum>1733188572</xltc2:checksum>
        <xltc2:hyperlink startIndex="0" length="71" url="https://ars.els-cdn.com/content/image/1-s2.0-S0196890424003674-mmc1.pdf"/>
      </x:ext>
    </extLst>
  </threadedComment>
  <threadedComment ref="L9" dT="2025-12-05T10:47:26.07" personId="{E5CFC1CE-D7A6-48D9-8448-B4EE9C5079C2}" id="{025E927D-73B5-4B61-981A-B05C551EBBED}">
    <text xml:space="preserve">https://ars.els-cdn.com/content/image/1-s2.0-S0196890424003674-mmc1.pdf
Table 4S
</text>
    <extLst>
      <x:ext xmlns:xltc2="http://schemas.microsoft.com/office/spreadsheetml/2020/threadedcomments2" uri="{F7C98A9C-CBB3-438F-8F68-D28B6AF4A901}">
        <xltc2:checksum>1733188572</xltc2:checksum>
        <xltc2:hyperlink startIndex="0" length="71" url="https://ars.els-cdn.com/content/image/1-s2.0-S0196890424003674-mmc1.pdf"/>
      </x:ext>
    </extLst>
  </threadedComment>
  <threadedComment ref="M9" dT="2025-12-04T16:30:32.08" personId="{E5CFC1CE-D7A6-48D9-8448-B4EE9C5079C2}" id="{36DA9327-736C-470F-958F-A5EBDDEA0EC8}">
    <text xml:space="preserve">https://ars.els-cdn.com/content/image/1-s2.0-S0196890424003674-mmc1.pdf
Table 4S
</text>
    <extLst>
      <x:ext xmlns:xltc2="http://schemas.microsoft.com/office/spreadsheetml/2020/threadedcomments2" uri="{F7C98A9C-CBB3-438F-8F68-D28B6AF4A901}">
        <xltc2:checksum>1733188572</xltc2:checksum>
        <xltc2:hyperlink startIndex="0" length="71" url="https://ars.els-cdn.com/content/image/1-s2.0-S0196890424003674-mmc1.pdf"/>
      </x:ext>
    </extLst>
  </threadedComment>
  <threadedComment ref="C10" dT="2025-12-04T16:27:36.80" personId="{E5CFC1CE-D7A6-48D9-8448-B4EE9C5079C2}" id="{E2E8AA1F-BEED-406D-BB8B-892A82B7E0A2}">
    <text>https://ars.els-cdn.com/content/image/1-s2.0-S0196890424003674-mmc1.pdf
Table 4S</text>
    <extLst>
      <x:ext xmlns:xltc2="http://schemas.microsoft.com/office/spreadsheetml/2020/threadedcomments2" uri="{F7C98A9C-CBB3-438F-8F68-D28B6AF4A901}">
        <xltc2:checksum>2544133908</xltc2:checksum>
        <xltc2:hyperlink startIndex="0" length="71" url="https://ars.els-cdn.com/content/image/1-s2.0-S0196890424003674-mmc1.pdf"/>
      </x:ext>
    </extLst>
  </threadedComment>
  <threadedComment ref="F10" dT="2025-12-05T10:44:42.41" personId="{E5CFC1CE-D7A6-48D9-8448-B4EE9C5079C2}" id="{9650A701-AD36-4E1C-9285-007AA2B19B36}">
    <text xml:space="preserve">https://ars.els-cdn.com/content/image/1-s2.0-S0196890424003674-mmc1.pdf
Table 4S
</text>
    <extLst>
      <x:ext xmlns:xltc2="http://schemas.microsoft.com/office/spreadsheetml/2020/threadedcomments2" uri="{F7C98A9C-CBB3-438F-8F68-D28B6AF4A901}">
        <xltc2:checksum>1733188572</xltc2:checksum>
        <xltc2:hyperlink startIndex="0" length="71" url="https://ars.els-cdn.com/content/image/1-s2.0-S0196890424003674-mmc1.pdf"/>
      </x:ext>
    </extLst>
  </threadedComment>
  <threadedComment ref="G10" dT="2025-12-01T16:24:22.23" personId="{E5CFC1CE-D7A6-48D9-8448-B4EE9C5079C2}" id="{643D824F-23D9-4C10-A60E-E59199B91198}">
    <text>https://ars.els-cdn.com/content/image/1-s2.0-S0196890424003674-mmc1.pdf
Table 14S
55.0 * 3.6</text>
    <extLst>
      <x:ext xmlns:xltc2="http://schemas.microsoft.com/office/spreadsheetml/2020/threadedcomments2" uri="{F7C98A9C-CBB3-438F-8F68-D28B6AF4A901}">
        <xltc2:checksum>1244044266</xltc2:checksum>
        <xltc2:hyperlink startIndex="0" length="71" url="https://ars.els-cdn.com/content/image/1-s2.0-S0196890424003674-mmc1.pdf"/>
      </x:ext>
    </extLst>
  </threadedComment>
  <threadedComment ref="H10" dT="2025-12-05T10:42:43.81" personId="{E5CFC1CE-D7A6-48D9-8448-B4EE9C5079C2}" id="{75C40193-7C74-48AD-A50D-264965FAA00C}">
    <text xml:space="preserve">https://ars.els-cdn.com/content/image/1-s2.0-S0196890424003674-mmc1.pdf
Table 4S
</text>
    <extLst>
      <x:ext xmlns:xltc2="http://schemas.microsoft.com/office/spreadsheetml/2020/threadedcomments2" uri="{F7C98A9C-CBB3-438F-8F68-D28B6AF4A901}">
        <xltc2:checksum>1733188572</xltc2:checksum>
        <xltc2:hyperlink startIndex="0" length="71" url="https://ars.els-cdn.com/content/image/1-s2.0-S0196890424003674-mmc1.pdf"/>
      </x:ext>
    </extLst>
  </threadedComment>
  <threadedComment ref="L10" dT="2025-12-05T10:47:29.16" personId="{E5CFC1CE-D7A6-48D9-8448-B4EE9C5079C2}" id="{50DD29BC-2D82-468D-8B7F-95ECCBEC3F97}">
    <text xml:space="preserve">https://ars.els-cdn.com/content/image/1-s2.0-S0196890424003674-mmc1.pdf
Table 4S
</text>
    <extLst>
      <x:ext xmlns:xltc2="http://schemas.microsoft.com/office/spreadsheetml/2020/threadedcomments2" uri="{F7C98A9C-CBB3-438F-8F68-D28B6AF4A901}">
        <xltc2:checksum>1733188572</xltc2:checksum>
        <xltc2:hyperlink startIndex="0" length="71" url="https://ars.els-cdn.com/content/image/1-s2.0-S0196890424003674-mmc1.pdf"/>
      </x:ext>
    </extLst>
  </threadedComment>
  <threadedComment ref="M10" dT="2025-12-04T16:30:35.63" personId="{E5CFC1CE-D7A6-48D9-8448-B4EE9C5079C2}" id="{C8593E3D-F3E3-40EE-A769-34E84266B294}">
    <text xml:space="preserve">https://ars.els-cdn.com/content/image/1-s2.0-S0196890424003674-mmc1.pdf
Table 4S
</text>
    <extLst>
      <x:ext xmlns:xltc2="http://schemas.microsoft.com/office/spreadsheetml/2020/threadedcomments2" uri="{F7C98A9C-CBB3-438F-8F68-D28B6AF4A901}">
        <xltc2:checksum>1733188572</xltc2:checksum>
        <xltc2:hyperlink startIndex="0" length="71" url="https://ars.els-cdn.com/content/image/1-s2.0-S0196890424003674-mmc1.pdf"/>
      </x:ext>
    </extLst>
  </threadedComment>
  <threadedComment ref="C11" dT="2025-12-04T16:27:36.80" personId="{E5CFC1CE-D7A6-48D9-8448-B4EE9C5079C2}" id="{4E536934-F078-4D27-A855-6841539641D2}">
    <text>https://ars.els-cdn.com/content/image/1-s2.0-S0196890424003674-mmc1.pdf
Table 4S</text>
    <extLst>
      <x:ext xmlns:xltc2="http://schemas.microsoft.com/office/spreadsheetml/2020/threadedcomments2" uri="{F7C98A9C-CBB3-438F-8F68-D28B6AF4A901}">
        <xltc2:checksum>2544133908</xltc2:checksum>
        <xltc2:hyperlink startIndex="0" length="71" url="https://ars.els-cdn.com/content/image/1-s2.0-S0196890424003674-mmc1.pdf"/>
      </x:ext>
    </extLst>
  </threadedComment>
  <threadedComment ref="F11" dT="2025-12-05T10:44:45.80" personId="{E5CFC1CE-D7A6-48D9-8448-B4EE9C5079C2}" id="{50720A26-70D3-48B0-9DFB-97B5B5F82D7C}">
    <text xml:space="preserve">https://ars.els-cdn.com/content/image/1-s2.0-S0196890424003674-mmc1.pdf
Table 4S
</text>
    <extLst>
      <x:ext xmlns:xltc2="http://schemas.microsoft.com/office/spreadsheetml/2020/threadedcomments2" uri="{F7C98A9C-CBB3-438F-8F68-D28B6AF4A901}">
        <xltc2:checksum>1733188572</xltc2:checksum>
        <xltc2:hyperlink startIndex="0" length="71" url="https://ars.els-cdn.com/content/image/1-s2.0-S0196890424003674-mmc1.pdf"/>
      </x:ext>
    </extLst>
  </threadedComment>
  <threadedComment ref="G11" dT="2025-12-01T16:24:31.02" personId="{E5CFC1CE-D7A6-48D9-8448-B4EE9C5079C2}" id="{75AACADC-9AEA-4D8E-859F-12525A237DEB}">
    <text xml:space="preserve">https://ars.els-cdn.com/content/image/1-s2.0-S0196890424003674-mmc1.pdf
Table 14S
55.0 * 3.6
</text>
    <extLst>
      <x:ext xmlns:xltc2="http://schemas.microsoft.com/office/spreadsheetml/2020/threadedcomments2" uri="{F7C98A9C-CBB3-438F-8F68-D28B6AF4A901}">
        <xltc2:checksum>2613171714</xltc2:checksum>
        <xltc2:hyperlink startIndex="0" length="71" url="https://ars.els-cdn.com/content/image/1-s2.0-S0196890424003674-mmc1.pdf"/>
      </x:ext>
    </extLst>
  </threadedComment>
  <threadedComment ref="H11" dT="2025-12-05T10:42:47.07" personId="{E5CFC1CE-D7A6-48D9-8448-B4EE9C5079C2}" id="{BEBA07F2-D2C4-42E6-9FF4-C4E4449DF66B}">
    <text xml:space="preserve">https://ars.els-cdn.com/content/image/1-s2.0-S0196890424003674-mmc1.pdf
Table 4S
</text>
    <extLst>
      <x:ext xmlns:xltc2="http://schemas.microsoft.com/office/spreadsheetml/2020/threadedcomments2" uri="{F7C98A9C-CBB3-438F-8F68-D28B6AF4A901}">
        <xltc2:checksum>1733188572</xltc2:checksum>
        <xltc2:hyperlink startIndex="0" length="71" url="https://ars.els-cdn.com/content/image/1-s2.0-S0196890424003674-mmc1.pdf"/>
      </x:ext>
    </extLst>
  </threadedComment>
  <threadedComment ref="L11" dT="2025-12-05T10:47:32.40" personId="{E5CFC1CE-D7A6-48D9-8448-B4EE9C5079C2}" id="{218B3321-DCA6-4E20-92E7-F00D1AC4352E}">
    <text xml:space="preserve">https://ars.els-cdn.com/content/image/1-s2.0-S0196890424003674-mmc1.pdf
Table 4S
</text>
    <extLst>
      <x:ext xmlns:xltc2="http://schemas.microsoft.com/office/spreadsheetml/2020/threadedcomments2" uri="{F7C98A9C-CBB3-438F-8F68-D28B6AF4A901}">
        <xltc2:checksum>1733188572</xltc2:checksum>
        <xltc2:hyperlink startIndex="0" length="71" url="https://ars.els-cdn.com/content/image/1-s2.0-S0196890424003674-mmc1.pdf"/>
      </x:ext>
    </extLst>
  </threadedComment>
  <threadedComment ref="M11" dT="2025-12-04T16:30:39.53" personId="{E5CFC1CE-D7A6-48D9-8448-B4EE9C5079C2}" id="{EB3D31AC-4EAC-483E-88E7-B1595BF0DE32}">
    <text xml:space="preserve">https://ars.els-cdn.com/content/image/1-s2.0-S0196890424003674-mmc1.pdf
Table 4S
</text>
    <extLst>
      <x:ext xmlns:xltc2="http://schemas.microsoft.com/office/spreadsheetml/2020/threadedcomments2" uri="{F7C98A9C-CBB3-438F-8F68-D28B6AF4A901}">
        <xltc2:checksum>1733188572</xltc2:checksum>
        <xltc2:hyperlink startIndex="0" length="71" url="https://ars.els-cdn.com/content/image/1-s2.0-S0196890424003674-mmc1.pdf"/>
      </x:ext>
    </extLst>
  </threadedComment>
  <threadedComment ref="G12" dT="2025-12-02T09:39:14.88" personId="{E5CFC1CE-D7A6-48D9-8448-B4EE9C5079C2}" id="{66E6D8AB-10ED-49B2-9447-586B052000F5}">
    <text>https://www.bfe.admin.ch/bfe/en/home/policy/energy-perspectives-2050-plus.html/
Abbildung 11</text>
    <extLst>
      <x:ext xmlns:xltc2="http://schemas.microsoft.com/office/spreadsheetml/2020/threadedcomments2" uri="{F7C98A9C-CBB3-438F-8F68-D28B6AF4A901}">
        <xltc2:checksum>3613526873</xltc2:checksum>
        <xltc2:hyperlink startIndex="0" length="79" url="https://www.bfe.admin.ch/bfe/en/home/policy/energy-perspectives-2050-plus.html/"/>
      </x:ext>
    </extLst>
  </threadedComment>
  <threadedComment ref="G13" dT="2025-12-02T09:39:23.22" personId="{E5CFC1CE-D7A6-48D9-8448-B4EE9C5079C2}" id="{1F71B14A-9A69-41CE-91F3-4C0B4E0370C5}">
    <text>https://www.bfe.admin.ch/bfe/en/home/policy/energy-perspectives-2050-plus.html/
Abbildung 11</text>
    <extLst>
      <x:ext xmlns:xltc2="http://schemas.microsoft.com/office/spreadsheetml/2020/threadedcomments2" uri="{F7C98A9C-CBB3-438F-8F68-D28B6AF4A901}">
        <xltc2:checksum>3613526873</xltc2:checksum>
        <xltc2:hyperlink startIndex="0" length="79" url="https://www.bfe.admin.ch/bfe/en/home/policy/energy-perspectives-2050-plus.html/"/>
      </x:ext>
    </extLst>
  </threadedComment>
  <threadedComment ref="C14" dT="2025-12-05T11:15:22.87" personId="{E5CFC1CE-D7A6-48D9-8448-B4EE9C5079C2}" id="{C348D8E4-B9E7-4911-9F4B-7E99519476C1}">
    <text>Can be 1 because of how dams are modelled. Water fills the storage via natural inflows and the model turns it into electricity as needed.</text>
  </threadedComment>
  <threadedComment ref="D14" dT="2025-12-05T11:12:28.33" personId="{E5CFC1CE-D7A6-48D9-8448-B4EE9C5079C2}" id="{73D9F05C-5BAD-466B-A5F1-449ED5E1F3E9}">
    <text>Irrelevant because there is no pumping. Water enters the reservoirs only via natural inflows.</text>
  </threadedComment>
  <threadedComment ref="C15" dT="2025-12-05T11:15:27.21" personId="{E5CFC1CE-D7A6-48D9-8448-B4EE9C5079C2}" id="{0A7263FF-5C10-4E77-BFCC-992D78D79DD7}">
    <text xml:space="preserve">Can be 1 because of how dams are modelled. Water fills the storage via natural inflows and the model turns it into electricity as needed.
</text>
  </threadedComment>
  <threadedComment ref="D15" dT="2025-12-05T11:12:32.64" personId="{E5CFC1CE-D7A6-48D9-8448-B4EE9C5079C2}" id="{9CA406A8-FA90-42C5-97DB-E1B8FE3BF088}">
    <text xml:space="preserve">Irrelevant because there is no pumping. Water enters the reservoirs only via natural inflows.
</text>
  </threadedComment>
  <threadedComment ref="C20" dT="2025-12-05T11:21:32.62" personId="{E5CFC1CE-D7A6-48D9-8448-B4EE9C5079C2}" id="{30B38F9B-599C-459B-9FBC-0642F72CDBD8}">
    <text>Those are not investable electrolyzers in the sense of a Power-to-X-to-Power seasonal storage. (These are called hydrogen.) Those represent the plants that need to produce the targeted hydrogen quantitiy given in TYNDP 2022.</text>
  </threadedComment>
  <threadedComment ref="C21" dT="2025-12-05T11:21:36.59" personId="{E5CFC1CE-D7A6-48D9-8448-B4EE9C5079C2}" id="{BFD761C4-F0CF-42B9-B629-CB5350FE993F}">
    <text xml:space="preserve">Those are not investable electrolyzers in the sense of a Power-to-X-to-Power seasonal storage. (These are called hydrogen.) Those represent the plants that need to produce the targeted hydrogen quantitiy given in TYNDP 2022.
</text>
  </threadedComment>
  <threadedComment ref="K24" dT="2025-12-02T14:42:45.54" personId="{E5CFC1CE-D7A6-48D9-8448-B4EE9C5079C2}" id="{2ADEB5A5-C7C1-4354-A167-9E6C5EF617AE}">
    <text>http://doi.org/10.55402/psi:63482
Table 1</text>
    <extLst>
      <x:ext xmlns:xltc2="http://schemas.microsoft.com/office/spreadsheetml/2020/threadedcomments2" uri="{F7C98A9C-CBB3-438F-8F68-D28B6AF4A901}">
        <xltc2:checksum>789791702</xltc2:checksum>
        <xltc2:hyperlink startIndex="0" length="33" url="http://doi.org/10.55402/psi:63482"/>
      </x:ext>
    </extLst>
  </threadedComment>
  <threadedComment ref="K25" dT="2025-12-02T14:42:58.80" personId="{E5CFC1CE-D7A6-48D9-8448-B4EE9C5079C2}" id="{AB6D3F7C-8228-43C6-9FE9-BE23F8D40107}">
    <text xml:space="preserve">http://doi.org/10.55402/psi:63482
Table 1
</text>
    <extLst>
      <x:ext xmlns:xltc2="http://schemas.microsoft.com/office/spreadsheetml/2020/threadedcomments2" uri="{F7C98A9C-CBB3-438F-8F68-D28B6AF4A901}">
        <xltc2:checksum>1136785409</xltc2:checksum>
        <xltc2:hyperlink startIndex="0" length="33" url="http://doi.org/10.55402/psi:63482"/>
      </x:ext>
    </extLst>
  </threadedComment>
  <threadedComment ref="C26" dT="2025-12-05T12:50:04.67" personId="{E5CFC1CE-D7A6-48D9-8448-B4EE9C5079C2}" id="{FBB9B97D-1C73-4429-8995-7541252101C6}">
    <text>Legacy plants in CH and all other gas fired plants in the rest of the nodes. Since this represents all other gas fired plants combined, the average of the other plants‘ efficiencies is considered.</text>
  </threadedComment>
  <threadedComment ref="E26" dT="2025-12-03T16:25:31.99" personId="{E5CFC1CE-D7A6-48D9-8448-B4EE9C5079C2}" id="{71901500-B559-4098-A6C3-9A3C0C931F2F}">
    <text>https://www.kbob.admin.ch/dam/de/sd-web/Ov7IumBLw3iS/20230116_Faktenblatt_CO2-Emissionsfaktoren_04-2024_DE.pdf
Table 2, 2023 value transformed to t/MWh
Assuming a carbon capture rate of 90%</text>
    <extLst>
      <x:ext xmlns:xltc2="http://schemas.microsoft.com/office/spreadsheetml/2020/threadedcomments2" uri="{F7C98A9C-CBB3-438F-8F68-D28B6AF4A901}">
        <xltc2:checksum>2913318601</xltc2:checksum>
        <xltc2:hyperlink startIndex="0" length="110" url="https://www.kbob.admin.ch/dam/de/sd-web/Ov7IumBLw3iS/20230116_Faktenblatt_CO2-Emissionsfaktoren_04-2024_DE.pdf"/>
      </x:ext>
    </extLst>
  </threadedComment>
  <threadedComment ref="G26" dT="2025-12-01T16:36:17.78" personId="{E5CFC1CE-D7A6-48D9-8448-B4EE9C5079C2}" id="{001CA03E-A646-4C0C-90C6-A3BA3B978C4C}">
    <text xml:space="preserve">https://www.bfe.admin.ch/bfe/en/home/policy/energy-perspectives-2050-plus.html/
Abbildung 11
</text>
    <extLst>
      <x:ext xmlns:xltc2="http://schemas.microsoft.com/office/spreadsheetml/2020/threadedcomments2" uri="{F7C98A9C-CBB3-438F-8F68-D28B6AF4A901}">
        <xltc2:checksum>187229310</xltc2:checksum>
        <xltc2:hyperlink startIndex="0" length="79" url="https://www.bfe.admin.ch/bfe/en/home/policy/energy-perspectives-2050-plus.html/"/>
      </x:ext>
    </extLst>
  </threadedComment>
  <threadedComment ref="L26" dT="2025-12-05T12:50:04.67" personId="{E5CFC1CE-D7A6-48D9-8448-B4EE9C5079C2}" id="{2B93D5A1-B1A1-40F8-B62C-664CA05966A2}">
    <text>Legacy plants in CH and all other gas fired plants in the rest of the nodes. Since this represents all other gas fired plants combined, the average of the other plants‘ efficiencies is considered.</text>
  </threadedComment>
  <threadedComment ref="C27" dT="2025-12-05T12:50:04.67" personId="{E5CFC1CE-D7A6-48D9-8448-B4EE9C5079C2}" id="{C67FA980-3900-4FF1-A20B-78355C827C5C}">
    <text>Legacy plants in CH and all other gas fired plants in the rest of the nodes. Since this represents all other gas fired plants combined, the average of the other plants‘ efficiencies is considered.</text>
  </threadedComment>
  <threadedComment ref="E27" dT="2025-12-03T16:25:31.99" personId="{E5CFC1CE-D7A6-48D9-8448-B4EE9C5079C2}" id="{21B4EF06-40BB-427E-A546-4558E8FB26E0}">
    <text>https://www.kbob.admin.ch/dam/de/sd-web/Ov7IumBLw3iS/20230116_Faktenblatt_CO2-Emissionsfaktoren_04-2024_DE.pdf
Table 2, 2023 value transformed to t/MWh
Assuming a carbon capture rate of 90%</text>
    <extLst>
      <x:ext xmlns:xltc2="http://schemas.microsoft.com/office/spreadsheetml/2020/threadedcomments2" uri="{F7C98A9C-CBB3-438F-8F68-D28B6AF4A901}">
        <xltc2:checksum>2913318601</xltc2:checksum>
        <xltc2:hyperlink startIndex="0" length="110" url="https://www.kbob.admin.ch/dam/de/sd-web/Ov7IumBLw3iS/20230116_Faktenblatt_CO2-Emissionsfaktoren_04-2024_DE.pdf"/>
      </x:ext>
    </extLst>
  </threadedComment>
  <threadedComment ref="G27" dT="2025-12-01T16:36:21.90" personId="{E5CFC1CE-D7A6-48D9-8448-B4EE9C5079C2}" id="{27DE668E-3ECA-440C-B98D-0BDE5C64A951}">
    <text xml:space="preserve">https://www.bfe.admin.ch/bfe/en/home/policy/energy-perspectives-2050-plus.html/
Abbildung 11
</text>
    <extLst>
      <x:ext xmlns:xltc2="http://schemas.microsoft.com/office/spreadsheetml/2020/threadedcomments2" uri="{F7C98A9C-CBB3-438F-8F68-D28B6AF4A901}">
        <xltc2:checksum>187229310</xltc2:checksum>
        <xltc2:hyperlink startIndex="0" length="79" url="https://www.bfe.admin.ch/bfe/en/home/policy/energy-perspectives-2050-plus.html/"/>
      </x:ext>
    </extLst>
  </threadedComment>
  <threadedComment ref="L27" dT="2025-12-05T12:50:04.67" personId="{E5CFC1CE-D7A6-48D9-8448-B4EE9C5079C2}" id="{6A6C1EF6-88E7-4022-A0AA-CAD962CBC127}">
    <text>Legacy plants in CH and all other gas fired plants in the rest of the nodes. Since this represents all other gas fired plants combined, the average of the other plants‘ efficiencies is considered.</text>
  </threadedComment>
  <threadedComment ref="C28" dT="2025-12-02T15:05:49.97" personId="{E5CFC1CE-D7A6-48D9-8448-B4EE9C5079C2}" id="{5019478A-1ED1-4E8C-8575-86F454AD757C}">
    <text xml:space="preserve">https://ars.els-cdn.com/content/image/1-s2.0-S0196890424003674-mmc1.pdf
Table 8S
Industry Methane Boiler
</text>
    <extLst>
      <x:ext xmlns:xltc2="http://schemas.microsoft.com/office/spreadsheetml/2020/threadedcomments2" uri="{F7C98A9C-CBB3-438F-8F68-D28B6AF4A901}">
        <xltc2:checksum>3837031784</xltc2:checksum>
        <xltc2:hyperlink startIndex="0" length="71" url="https://ars.els-cdn.com/content/image/1-s2.0-S0196890424003674-mmc1.pdf"/>
      </x:ext>
    </extLst>
  </threadedComment>
  <threadedComment ref="E28" dT="2025-12-03T16:25:31.99" personId="{E5CFC1CE-D7A6-48D9-8448-B4EE9C5079C2}" id="{02F6E3E2-79B9-4A30-AF21-A16A33EE26A9}">
    <text>https://www.kbob.admin.ch/dam/de/sd-web/Ov7IumBLw3iS/20230116_Faktenblatt_CO2-Emissionsfaktoren_04-2024_DE.pdf
Table 2, 2023 value transformed to t/MWh</text>
    <extLst>
      <x:ext xmlns:xltc2="http://schemas.microsoft.com/office/spreadsheetml/2020/threadedcomments2" uri="{F7C98A9C-CBB3-438F-8F68-D28B6AF4A901}">
        <xltc2:checksum>964989745</xltc2:checksum>
        <xltc2:hyperlink startIndex="0" length="110" url="https://www.kbob.admin.ch/dam/de/sd-web/Ov7IumBLw3iS/20230116_Faktenblatt_CO2-Emissionsfaktoren_04-2024_DE.pdf"/>
      </x:ext>
    </extLst>
  </threadedComment>
  <threadedComment ref="F28" dT="2025-12-05T12:58:19.44" personId="{E5CFC1CE-D7A6-48D9-8448-B4EE9C5079C2}" id="{6A96A72F-44F2-4EC3-8D56-07F615AA5DB2}">
    <text xml:space="preserve">https://ars.els-cdn.com/content/image/1-s2.0-S0196890424003674-mmc1.pdf
Table 8S
Industry Methane Boiler
</text>
    <extLst>
      <x:ext xmlns:xltc2="http://schemas.microsoft.com/office/spreadsheetml/2020/threadedcomments2" uri="{F7C98A9C-CBB3-438F-8F68-D28B6AF4A901}">
        <xltc2:checksum>3837031784</xltc2:checksum>
        <xltc2:hyperlink startIndex="0" length="71" url="https://ars.els-cdn.com/content/image/1-s2.0-S0196890424003674-mmc1.pdf"/>
      </x:ext>
    </extLst>
  </threadedComment>
  <threadedComment ref="G28" dT="2025-12-01T16:36:17.78" personId="{E5CFC1CE-D7A6-48D9-8448-B4EE9C5079C2}" id="{3C52A7C6-D2E8-48BD-B390-1EDB00531035}">
    <text>Same as gas</text>
  </threadedComment>
  <threadedComment ref="H28" dT="2025-12-02T10:50:25.48" personId="{E5CFC1CE-D7A6-48D9-8448-B4EE9C5079C2}" id="{EDF400A9-3CBC-4F9E-8EEE-D0B3664FEB97}">
    <text>https://ars.els-cdn.com/content/image/1-s2.0-S0196890424003674-mmc1.pdf
Table 8S
Industry Methane Boiler</text>
    <extLst>
      <x:ext xmlns:xltc2="http://schemas.microsoft.com/office/spreadsheetml/2020/threadedcomments2" uri="{F7C98A9C-CBB3-438F-8F68-D28B6AF4A901}">
        <xltc2:checksum>1262019743</xltc2:checksum>
        <xltc2:hyperlink startIndex="0" length="71" url="https://ars.els-cdn.com/content/image/1-s2.0-S0196890424003674-mmc1.pdf"/>
      </x:ext>
    </extLst>
  </threadedComment>
  <threadedComment ref="M28" dT="2025-12-01T15:14:35.29" personId="{E5CFC1CE-D7A6-48D9-8448-B4EE9C5079C2}" id="{C0DA00D3-12F5-40CB-B616-BD73D29E5EBA}">
    <text>https://ars.els-cdn.com/content/image/1-s2.0-S0196890424003674-mmc1.pdf
Table 8S
„Industry Methane Boiler“</text>
    <extLst>
      <x:ext xmlns:xltc2="http://schemas.microsoft.com/office/spreadsheetml/2020/threadedcomments2" uri="{F7C98A9C-CBB3-438F-8F68-D28B6AF4A901}">
        <xltc2:checksum>1874453281</xltc2:checksum>
        <xltc2:hyperlink startIndex="0" length="71" url="https://ars.els-cdn.com/content/image/1-s2.0-S0196890424003674-mmc1.pdf"/>
      </x:ext>
    </extLst>
  </threadedComment>
  <threadedComment ref="C29" dT="2025-12-02T15:05:53.86" personId="{E5CFC1CE-D7A6-48D9-8448-B4EE9C5079C2}" id="{62416910-625E-4E7D-BBEE-68C5BE5EF3EF}">
    <text xml:space="preserve">https://ars.els-cdn.com/content/image/1-s2.0-S0196890424003674-mmc1.pdf
Table 8S
Industry Methane Boiler
</text>
    <extLst>
      <x:ext xmlns:xltc2="http://schemas.microsoft.com/office/spreadsheetml/2020/threadedcomments2" uri="{F7C98A9C-CBB3-438F-8F68-D28B6AF4A901}">
        <xltc2:checksum>3837031784</xltc2:checksum>
        <xltc2:hyperlink startIndex="0" length="71" url="https://ars.els-cdn.com/content/image/1-s2.0-S0196890424003674-mmc1.pdf"/>
      </x:ext>
    </extLst>
  </threadedComment>
  <threadedComment ref="E29" dT="2025-12-03T16:25:31.99" personId="{E5CFC1CE-D7A6-48D9-8448-B4EE9C5079C2}" id="{FD837BAF-B10D-4668-8EA1-3F8F49DF244F}">
    <text>https://www.kbob.admin.ch/dam/de/sd-web/Ov7IumBLw3iS/20230116_Faktenblatt_CO2-Emissionsfaktoren_04-2024_DE.pdf
Table 2, 2023 value transformed to t/MWh</text>
    <extLst>
      <x:ext xmlns:xltc2="http://schemas.microsoft.com/office/spreadsheetml/2020/threadedcomments2" uri="{F7C98A9C-CBB3-438F-8F68-D28B6AF4A901}">
        <xltc2:checksum>964989745</xltc2:checksum>
        <xltc2:hyperlink startIndex="0" length="110" url="https://www.kbob.admin.ch/dam/de/sd-web/Ov7IumBLw3iS/20230116_Faktenblatt_CO2-Emissionsfaktoren_04-2024_DE.pdf"/>
      </x:ext>
    </extLst>
  </threadedComment>
  <threadedComment ref="F29" dT="2025-12-05T12:58:22.88" personId="{E5CFC1CE-D7A6-48D9-8448-B4EE9C5079C2}" id="{C09412F0-3137-46E8-BE10-0E15CC43944B}">
    <text xml:space="preserve">https://ars.els-cdn.com/content/image/1-s2.0-S0196890424003674-mmc1.pdf
Table 8S
Industry Methane Boiler
</text>
    <extLst>
      <x:ext xmlns:xltc2="http://schemas.microsoft.com/office/spreadsheetml/2020/threadedcomments2" uri="{F7C98A9C-CBB3-438F-8F68-D28B6AF4A901}">
        <xltc2:checksum>3837031784</xltc2:checksum>
        <xltc2:hyperlink startIndex="0" length="71" url="https://ars.els-cdn.com/content/image/1-s2.0-S0196890424003674-mmc1.pdf"/>
      </x:ext>
    </extLst>
  </threadedComment>
  <threadedComment ref="G29" dT="2025-12-01T16:36:21.90" personId="{E5CFC1CE-D7A6-48D9-8448-B4EE9C5079C2}" id="{6BDEA038-915B-4090-86E3-69668EA55784}">
    <text>Same as gas</text>
  </threadedComment>
  <threadedComment ref="H29" dT="2025-12-02T10:50:25.48" personId="{E5CFC1CE-D7A6-48D9-8448-B4EE9C5079C2}" id="{5686F4C8-681E-45A1-B172-E539FA787D5F}">
    <text xml:space="preserve">https://ars.els-cdn.com/content/image/1-s2.0-S0196890424003674-mmc1.pdf
Table 8S
Industry Methane Boiler
</text>
    <extLst>
      <x:ext xmlns:xltc2="http://schemas.microsoft.com/office/spreadsheetml/2020/threadedcomments2" uri="{F7C98A9C-CBB3-438F-8F68-D28B6AF4A901}">
        <xltc2:checksum>3837031784</xltc2:checksum>
        <xltc2:hyperlink startIndex="0" length="71" url="https://ars.els-cdn.com/content/image/1-s2.0-S0196890424003674-mmc1.pdf"/>
      </x:ext>
    </extLst>
  </threadedComment>
  <threadedComment ref="M29" dT="2025-12-01T15:14:49.52" personId="{E5CFC1CE-D7A6-48D9-8448-B4EE9C5079C2}" id="{FFA1B7A9-82A2-4499-8F0C-3E333754D782}">
    <text xml:space="preserve">https://ars.els-cdn.com/content/image/1-s2.0-S0196890424003674-mmc1.pdf
Table 8S
„Industry Methane Boiler“
</text>
    <extLst>
      <x:ext xmlns:xltc2="http://schemas.microsoft.com/office/spreadsheetml/2020/threadedcomments2" uri="{F7C98A9C-CBB3-438F-8F68-D28B6AF4A901}">
        <xltc2:checksum>3810360903</xltc2:checksum>
        <xltc2:hyperlink startIndex="0" length="71" url="https://ars.els-cdn.com/content/image/1-s2.0-S0196890424003674-mmc1.pdf"/>
      </x:ext>
    </extLst>
  </threadedComment>
  <threadedComment ref="C30" dT="2025-12-05T14:11:13.26" personId="{E5CFC1CE-D7A6-48D9-8448-B4EE9C5079C2}" id="{E84B2078-15C0-49D7-877C-30D0477CF2A5}">
    <text>https://nexus-e.org/wp-content/uploads/2022/08/Nexuse_Report_InputData_v2.pdf
Table 6</text>
    <extLst>
      <x:ext xmlns:xltc2="http://schemas.microsoft.com/office/spreadsheetml/2020/threadedcomments2" uri="{F7C98A9C-CBB3-438F-8F68-D28B6AF4A901}">
        <xltc2:checksum>2898235058</xltc2:checksum>
        <xltc2:hyperlink startIndex="0" length="77" url="https://nexus-e.org/wp-content/uploads/2022/08/Nexuse_Report_InputData_v2.pdf"/>
      </x:ext>
    </extLst>
  </threadedComment>
  <threadedComment ref="E30" dT="2025-12-03T16:29:39.36" personId="{E5CFC1CE-D7A6-48D9-8448-B4EE9C5079C2}" id="{EB640590-032A-4379-8AF6-B5E2D265FE2B}">
    <text>https://www.kbob.admin.ch/dam/de/sd-web/Ov7IumBLw3iS/20230116_Faktenblatt_CO2-Emissionsfaktoren_04-2024_DE.pdf
Table 1, Steinkohle value transformed to t/MWh</text>
    <extLst>
      <x:ext xmlns:xltc2="http://schemas.microsoft.com/office/spreadsheetml/2020/threadedcomments2" uri="{F7C98A9C-CBB3-438F-8F68-D28B6AF4A901}">
        <xltc2:checksum>3895373913</xltc2:checksum>
        <xltc2:hyperlink startIndex="0" length="110" url="https://www.kbob.admin.ch/dam/de/sd-web/Ov7IumBLw3iS/20230116_Faktenblatt_CO2-Emissionsfaktoren_04-2024_DE.pdf"/>
      </x:ext>
    </extLst>
  </threadedComment>
  <threadedComment ref="G30" dT="2025-12-02T09:44:03.34" personId="{E5CFC1CE-D7A6-48D9-8448-B4EE9C5079C2}" id="{530D5002-9BA2-4D46-AA1A-F95C06854013}">
    <text>https://www.bfe.admin.ch/bfe/en/home/policy/energy-perspectives-2050-plus.html/
Abbildung 11</text>
    <extLst>
      <x:ext xmlns:xltc2="http://schemas.microsoft.com/office/spreadsheetml/2020/threadedcomments2" uri="{F7C98A9C-CBB3-438F-8F68-D28B6AF4A901}">
        <xltc2:checksum>3613526873</xltc2:checksum>
        <xltc2:hyperlink startIndex="0" length="79" url="https://www.bfe.admin.ch/bfe/en/home/policy/energy-perspectives-2050-plus.html/"/>
      </x:ext>
    </extLst>
  </threadedComment>
  <threadedComment ref="L30" dT="2025-12-05T14:04:04.09" personId="{E5CFC1CE-D7A6-48D9-8448-B4EE9C5079C2}" id="{A612EEF7-0919-4D9B-BC87-9054C053727F}">
    <text>https://nexus-e.org/wp-content/uploads/2022/08/Nexuse_Report_InputData_v2.pdf
Table 20
Average of Austria, Germany, France and Italy</text>
    <extLst>
      <x:ext xmlns:xltc2="http://schemas.microsoft.com/office/spreadsheetml/2020/threadedcomments2" uri="{F7C98A9C-CBB3-438F-8F68-D28B6AF4A901}">
        <xltc2:checksum>199729698</xltc2:checksum>
        <xltc2:hyperlink startIndex="0" length="77" url="https://nexus-e.org/wp-content/uploads/2022/08/Nexuse_Report_InputData_v2.pdf"/>
      </x:ext>
    </extLst>
  </threadedComment>
  <threadedComment ref="C31" dT="2025-12-05T14:11:20.86" personId="{E5CFC1CE-D7A6-48D9-8448-B4EE9C5079C2}" id="{ABBF64E1-F577-45FF-978E-7F9A0FBDD1F1}">
    <text xml:space="preserve">https://nexus-e.org/wp-content/uploads/2022/08/Nexuse_Report_InputData_v2.pdf
Table 6
</text>
    <extLst>
      <x:ext xmlns:xltc2="http://schemas.microsoft.com/office/spreadsheetml/2020/threadedcomments2" uri="{F7C98A9C-CBB3-438F-8F68-D28B6AF4A901}">
        <xltc2:checksum>2398342309</xltc2:checksum>
        <xltc2:hyperlink startIndex="0" length="77" url="https://nexus-e.org/wp-content/uploads/2022/08/Nexuse_Report_InputData_v2.pdf"/>
      </x:ext>
    </extLst>
  </threadedComment>
  <threadedComment ref="E31" dT="2025-12-03T16:29:39.36" personId="{E5CFC1CE-D7A6-48D9-8448-B4EE9C5079C2}" id="{71328BF1-FBB5-475D-813B-E83E0A54CE65}">
    <text>https://www.kbob.admin.ch/dam/de/sd-web/Ov7IumBLw3iS/20230116_Faktenblatt_CO2-Emissionsfaktoren_04-2024_DE.pdf
Table 1, Steinkohle value transformed to t/MWh</text>
    <extLst>
      <x:ext xmlns:xltc2="http://schemas.microsoft.com/office/spreadsheetml/2020/threadedcomments2" uri="{F7C98A9C-CBB3-438F-8F68-D28B6AF4A901}">
        <xltc2:checksum>3895373913</xltc2:checksum>
        <xltc2:hyperlink startIndex="0" length="110" url="https://www.kbob.admin.ch/dam/de/sd-web/Ov7IumBLw3iS/20230116_Faktenblatt_CO2-Emissionsfaktoren_04-2024_DE.pdf"/>
      </x:ext>
    </extLst>
  </threadedComment>
  <threadedComment ref="G31" dT="2025-12-02T09:44:09.15" personId="{E5CFC1CE-D7A6-48D9-8448-B4EE9C5079C2}" id="{C2CD5D24-3117-4B50-9150-2BD8E21B28A4}">
    <text>https://www.bfe.admin.ch/bfe/en/home/policy/energy-perspectives-2050-plus.html/
Abbildung 11</text>
    <extLst>
      <x:ext xmlns:xltc2="http://schemas.microsoft.com/office/spreadsheetml/2020/threadedcomments2" uri="{F7C98A9C-CBB3-438F-8F68-D28B6AF4A901}">
        <xltc2:checksum>3613526873</xltc2:checksum>
        <xltc2:hyperlink startIndex="0" length="79" url="https://www.bfe.admin.ch/bfe/en/home/policy/energy-perspectives-2050-plus.html/"/>
      </x:ext>
    </extLst>
  </threadedComment>
  <threadedComment ref="L31" dT="2025-12-05T14:04:04.09" personId="{E5CFC1CE-D7A6-48D9-8448-B4EE9C5079C2}" id="{F1C9CB77-8B35-47CF-9A12-D9219ADCD9C4}">
    <text>https://nexus-e.org/wp-content/uploads/2022/08/Nexuse_Report_InputData_v2.pdf
Table 20
Average of Austria, Germany, France and Italy</text>
    <extLst>
      <x:ext xmlns:xltc2="http://schemas.microsoft.com/office/spreadsheetml/2020/threadedcomments2" uri="{F7C98A9C-CBB3-438F-8F68-D28B6AF4A901}">
        <xltc2:checksum>199729698</xltc2:checksum>
        <xltc2:hyperlink startIndex="0" length="77" url="https://nexus-e.org/wp-content/uploads/2022/08/Nexuse_Report_InputData_v2.pdf"/>
      </x:ext>
    </extLst>
  </threadedComment>
  <threadedComment ref="C32" dT="2025-12-04T14:45:26.96" personId="{E5CFC1CE-D7A6-48D9-8448-B4EE9C5079C2}" id="{D8C32512-D44D-4DC6-BA1D-77B77DDAA81D}">
    <text>The COP is considered elsewhere in the model. Thus, this is just 1.</text>
  </threadedComment>
  <threadedComment ref="F32" dT="2025-12-04T14:44:30.15" personId="{E5CFC1CE-D7A6-48D9-8448-B4EE9C5079C2}" id="{697F5FAF-9231-4636-9FE9-B85EE48DBD86}">
    <text xml:space="preserve">https://ars.els-cdn.com/content/image/1-s2.0-S0196890424003674-mmc1.pdf
Table 8S
</text>
    <extLst>
      <x:ext xmlns:xltc2="http://schemas.microsoft.com/office/spreadsheetml/2020/threadedcomments2" uri="{F7C98A9C-CBB3-438F-8F68-D28B6AF4A901}">
        <xltc2:checksum>1685956572</xltc2:checksum>
        <xltc2:hyperlink startIndex="0" length="71" url="https://ars.els-cdn.com/content/image/1-s2.0-S0196890424003674-mmc1.pdf"/>
      </x:ext>
    </extLst>
  </threadedComment>
  <threadedComment ref="H32" dT="2025-12-04T14:40:31.08" personId="{E5CFC1CE-D7A6-48D9-8448-B4EE9C5079C2}" id="{33DC931D-77A9-4F04-8C94-266E78D5719A}">
    <text>https://ars.els-cdn.com/content/image/1-s2.0-S0196890424003674-mmc1.pdf
Table 8S</text>
    <extLst>
      <x:ext xmlns:xltc2="http://schemas.microsoft.com/office/spreadsheetml/2020/threadedcomments2" uri="{F7C98A9C-CBB3-438F-8F68-D28B6AF4A901}">
        <xltc2:checksum>1403282521</xltc2:checksum>
        <xltc2:hyperlink startIndex="0" length="71" url="https://ars.els-cdn.com/content/image/1-s2.0-S0196890424003674-mmc1.pdf"/>
      </x:ext>
    </extLst>
  </threadedComment>
  <threadedComment ref="M32" dT="2025-12-01T15:12:20.90" personId="{E5CFC1CE-D7A6-48D9-8448-B4EE9C5079C2}" id="{B3DDA51F-1C6C-423B-83C7-47AA81A4EBB1}">
    <text xml:space="preserve">https://ars.els-cdn.com/content/image/1-s2.0-S0196890424003674-mmc1.pdf
Table 8S
</text>
    <extLst>
      <x:ext xmlns:xltc2="http://schemas.microsoft.com/office/spreadsheetml/2020/threadedcomments2" uri="{F7C98A9C-CBB3-438F-8F68-D28B6AF4A901}">
        <xltc2:checksum>1685956572</xltc2:checksum>
        <xltc2:hyperlink startIndex="0" length="71" url="https://ars.els-cdn.com/content/image/1-s2.0-S0196890424003674-mmc1.pdf"/>
      </x:ext>
    </extLst>
  </threadedComment>
  <threadedComment ref="C33" dT="2025-12-04T14:45:30.33" personId="{E5CFC1CE-D7A6-48D9-8448-B4EE9C5079C2}" id="{CE06F4C4-EBDA-471F-906B-813852AA4283}">
    <text xml:space="preserve">The COP is considered elsewhere in the model. Thus, this is just 1.
</text>
  </threadedComment>
  <threadedComment ref="F33" dT="2025-12-04T14:44:34.37" personId="{E5CFC1CE-D7A6-48D9-8448-B4EE9C5079C2}" id="{13E00CC3-0E9B-45FE-8500-0781366A111F}">
    <text xml:space="preserve">https://ars.els-cdn.com/content/image/1-s2.0-S0196890424003674-mmc1.pdf
Table 8S
</text>
    <extLst>
      <x:ext xmlns:xltc2="http://schemas.microsoft.com/office/spreadsheetml/2020/threadedcomments2" uri="{F7C98A9C-CBB3-438F-8F68-D28B6AF4A901}">
        <xltc2:checksum>1685956572</xltc2:checksum>
        <xltc2:hyperlink startIndex="0" length="71" url="https://ars.els-cdn.com/content/image/1-s2.0-S0196890424003674-mmc1.pdf"/>
      </x:ext>
    </extLst>
  </threadedComment>
  <threadedComment ref="H33" dT="2025-12-04T14:40:34.34" personId="{E5CFC1CE-D7A6-48D9-8448-B4EE9C5079C2}" id="{E6FC6814-D268-499B-AF43-5701F86E505C}">
    <text xml:space="preserve">https://ars.els-cdn.com/content/image/1-s2.0-S0196890424003674-mmc1.pdf
Table 8S
</text>
    <extLst>
      <x:ext xmlns:xltc2="http://schemas.microsoft.com/office/spreadsheetml/2020/threadedcomments2" uri="{F7C98A9C-CBB3-438F-8F68-D28B6AF4A901}">
        <xltc2:checksum>2816772539</xltc2:checksum>
        <xltc2:hyperlink startIndex="0" length="71" url="https://ars.els-cdn.com/content/image/1-s2.0-S0196890424003674-mmc1.pdf"/>
      </x:ext>
    </extLst>
  </threadedComment>
  <threadedComment ref="M33" dT="2025-12-01T15:12:25.48" personId="{E5CFC1CE-D7A6-48D9-8448-B4EE9C5079C2}" id="{C3F317AF-40CD-4EA5-A9C9-F8A837CCFCC6}">
    <text xml:space="preserve">https://ars.els-cdn.com/content/image/1-s2.0-S0196890424003674-mmc1.pdf
Table 8S
</text>
    <extLst>
      <x:ext xmlns:xltc2="http://schemas.microsoft.com/office/spreadsheetml/2020/threadedcomments2" uri="{F7C98A9C-CBB3-438F-8F68-D28B6AF4A901}">
        <xltc2:checksum>1685956572</xltc2:checksum>
        <xltc2:hyperlink startIndex="0" length="71" url="https://ars.els-cdn.com/content/image/1-s2.0-S0196890424003674-mmc1.pdf"/>
      </x:ext>
    </extLst>
  </threadedComment>
  <threadedComment ref="C34" dT="2025-12-05T13:15:46.31" personId="{E5CFC1CE-D7A6-48D9-8448-B4EE9C5079C2}" id="{0BCD3CBD-143B-422A-84FD-4829A84E1E91}">
    <text xml:space="preserve">The COP is considered elsewhere in the model. Thus, this is just 1.
</text>
  </threadedComment>
  <threadedComment ref="C35" dT="2025-12-05T13:15:49.59" personId="{E5CFC1CE-D7A6-48D9-8448-B4EE9C5079C2}" id="{8D982770-3DF1-4BF4-B649-B03E96E88AB4}">
    <text xml:space="preserve">The COP is considered elsewhere in the model. Thus, this is just 1.
</text>
  </threadedComment>
  <threadedComment ref="C36" dT="2025-12-05T15:48:16.07" personId="{E5CFC1CE-D7A6-48D9-8448-B4EE9C5079C2}" id="{F8C880E3-80BE-491F-AB0D-74980ABDAC73}">
    <text>Same efficiency assumed as for CCGT</text>
  </threadedComment>
  <threadedComment ref="D36" dT="2025-12-05T15:50:14.78" personId="{E5CFC1CE-D7A6-48D9-8448-B4EE9C5079C2}" id="{CC999FB3-108A-44C0-81A1-A3399C19826C}">
    <text>According to
https://ars.els-cdn.com/content/image/1-s2.0-S0196890424003674-mmc1.pdf
There is a roundtrip efficiency of 40%. With the provided electrolyzer efficiency, the roundtrip efficiency is exactly 40%.</text>
    <extLst>
      <x:ext xmlns:xltc2="http://schemas.microsoft.com/office/spreadsheetml/2020/threadedcomments2" uri="{F7C98A9C-CBB3-438F-8F68-D28B6AF4A901}">
        <xltc2:checksum>2327961371</xltc2:checksum>
        <xltc2:hyperlink startIndex="13" length="71" url="https://ars.els-cdn.com/content/image/1-s2.0-S0196890424003674-mmc1.pdf"/>
      </x:ext>
    </extLst>
  </threadedComment>
  <threadedComment ref="F36" dT="2025-12-05T15:37:50.42" personId="{E5CFC1CE-D7A6-48D9-8448-B4EE9C5079C2}" id="{3DF71DB5-F7AF-48A4-AFF1-6C93B8E3508B}">
    <text>https://ars.els-cdn.com/content/image/1-s2.0-S0196890424003674-mmc1.pdf
Table 5S</text>
    <extLst>
      <x:ext xmlns:xltc2="http://schemas.microsoft.com/office/spreadsheetml/2020/threadedcomments2" uri="{F7C98A9C-CBB3-438F-8F68-D28B6AF4A901}">
        <xltc2:checksum>950298388</xltc2:checksum>
        <xltc2:hyperlink startIndex="0" length="71" url="https://ars.els-cdn.com/content/image/1-s2.0-S0196890424003674-mmc1.pdf"/>
      </x:ext>
    </extLst>
  </threadedComment>
  <threadedComment ref="H36" dT="2025-12-05T14:43:28.84" personId="{E5CFC1CE-D7A6-48D9-8448-B4EE9C5079C2}" id="{68D56D2A-80D9-479A-A635-8C973891022A}">
    <text>Own assumption: Same investment costs assumed as for CCGT but 10% more expensive</text>
  </threadedComment>
  <threadedComment ref="I36" dT="2025-12-05T14:43:28.84" personId="{E5CFC1CE-D7A6-48D9-8448-B4EE9C5079C2}" id="{B45EE76D-C580-4F76-9D08-63B4241C31E1}">
    <text>https://sites.uwasa.fi/vepe/en/2024/12/11/the-difference-between-hydrogen-visions-and-the-reality-investment-values/
BNEF</text>
    <extLst>
      <x:ext xmlns:xltc2="http://schemas.microsoft.com/office/spreadsheetml/2020/threadedcomments2" uri="{F7C98A9C-CBB3-438F-8F68-D28B6AF4A901}">
        <xltc2:checksum>3903373329</xltc2:checksum>
        <xltc2:hyperlink startIndex="0" length="116" url="https://sites.uwasa.fi/vepe/en/2024/12/11/the-difference-between-hydrogen-visions-and-the-reality-investment-values/"/>
      </x:ext>
    </extLst>
  </threadedComment>
  <threadedComment ref="J36" dT="2025-12-05T14:49:10.36" personId="{E5CFC1CE-D7A6-48D9-8448-B4EE9C5079C2}" id="{1A6DECB3-96A0-4EED-8737-CC310860E246}">
    <text>http://doi.org/10.55402/psi:63482
Table 1
291 Multiplied by 5 because hydrogen has a lower density and constructing such a storage for hydrogen instead of LRC might be technically more challenging</text>
    <extLst>
      <x:ext xmlns:xltc2="http://schemas.microsoft.com/office/spreadsheetml/2020/threadedcomments2" uri="{F7C98A9C-CBB3-438F-8F68-D28B6AF4A901}">
        <xltc2:checksum>1956351933</xltc2:checksum>
        <xltc2:hyperlink startIndex="0" length="33" url="http://doi.org/10.55402/psi:63482"/>
      </x:ext>
    </extLst>
  </threadedComment>
  <threadedComment ref="M36" dT="2025-12-05T15:37:50.42" personId="{E5CFC1CE-D7A6-48D9-8448-B4EE9C5079C2}" id="{B06CAE8D-222A-4F57-BCFE-F9D1D5EFA107}">
    <text>https://ars.els-cdn.com/content/image/1-s2.0-S0196890424003674-mmc1.pdf
Table 5S</text>
    <extLst>
      <x:ext xmlns:xltc2="http://schemas.microsoft.com/office/spreadsheetml/2020/threadedcomments2" uri="{F7C98A9C-CBB3-438F-8F68-D28B6AF4A901}">
        <xltc2:checksum>950298388</xltc2:checksum>
        <xltc2:hyperlink startIndex="0" length="71" url="https://ars.els-cdn.com/content/image/1-s2.0-S0196890424003674-mmc1.pdf"/>
      </x:ext>
    </extLst>
  </threadedComment>
  <threadedComment ref="C37" dT="2025-12-05T15:48:19.91" personId="{E5CFC1CE-D7A6-48D9-8448-B4EE9C5079C2}" id="{F5E79687-F8CA-4D05-8427-8749461D761F}">
    <text>Same efficiency assumed as for CCGT</text>
  </threadedComment>
  <threadedComment ref="D37" dT="2025-12-05T15:50:18.79" personId="{E5CFC1CE-D7A6-48D9-8448-B4EE9C5079C2}" id="{A064644F-F211-4168-8DC6-0FC611B05D36}">
    <text xml:space="preserve">According to
https://ars.els-cdn.com/content/image/1-s2.0-S0196890424003674-mmc1.pdf
There is a roundtrip efficiency of 40%. With the provided electrolyzer efficiency, the roundtrip efficiency is exactly 40%.
</text>
    <extLst>
      <x:ext xmlns:xltc2="http://schemas.microsoft.com/office/spreadsheetml/2020/threadedcomments2" uri="{F7C98A9C-CBB3-438F-8F68-D28B6AF4A901}">
        <xltc2:checksum>3746364655</xltc2:checksum>
        <xltc2:hyperlink startIndex="13" length="71" url="https://ars.els-cdn.com/content/image/1-s2.0-S0196890424003674-mmc1.pdf"/>
      </x:ext>
    </extLst>
  </threadedComment>
  <threadedComment ref="F37" dT="2025-12-05T15:37:50.42" personId="{E5CFC1CE-D7A6-48D9-8448-B4EE9C5079C2}" id="{0614F586-84EC-4FE8-99E4-7EDCBDD03807}">
    <text>https://ars.els-cdn.com/content/image/1-s2.0-S0196890424003674-mmc1.pdf
Table 5S</text>
    <extLst>
      <x:ext xmlns:xltc2="http://schemas.microsoft.com/office/spreadsheetml/2020/threadedcomments2" uri="{F7C98A9C-CBB3-438F-8F68-D28B6AF4A901}">
        <xltc2:checksum>950298388</xltc2:checksum>
        <xltc2:hyperlink startIndex="0" length="71" url="https://ars.els-cdn.com/content/image/1-s2.0-S0196890424003674-mmc1.pdf"/>
      </x:ext>
    </extLst>
  </threadedComment>
  <threadedComment ref="H37" dT="2025-12-05T14:43:32.46" personId="{E5CFC1CE-D7A6-48D9-8448-B4EE9C5079C2}" id="{F292AF33-00C1-4ADE-AD2E-C60B9559788A}">
    <text xml:space="preserve">Own assumption: Same investment costs assumed as for CCGT but 10% more expensive
</text>
  </threadedComment>
  <threadedComment ref="I37" dT="2025-12-05T14:43:32.46" personId="{E5CFC1CE-D7A6-48D9-8448-B4EE9C5079C2}" id="{A080EED5-3C47-4563-9130-06B8A7423593}">
    <text xml:space="preserve">https://sites.uwasa.fi/vepe/en/2024/12/11/the-difference-between-hydrogen-visions-and-the-reality-investment-values/
BNEF
</text>
    <extLst>
      <x:ext xmlns:xltc2="http://schemas.microsoft.com/office/spreadsheetml/2020/threadedcomments2" uri="{F7C98A9C-CBB3-438F-8F68-D28B6AF4A901}">
        <xltc2:checksum>3229202712</xltc2:checksum>
        <xltc2:hyperlink startIndex="0" length="116" url="https://sites.uwasa.fi/vepe/en/2024/12/11/the-difference-between-hydrogen-visions-and-the-reality-investment-values/"/>
      </x:ext>
    </extLst>
  </threadedComment>
  <threadedComment ref="J37" dT="2025-12-05T14:51:35.05" personId="{E5CFC1CE-D7A6-48D9-8448-B4EE9C5079C2}" id="{F6FB371F-A7B9-4ED7-AE61-46CB6725293E}">
    <text xml:space="preserve">http://doi.org/10.55402/psi:63482
Table 1
291 Multiplied by 5 because hydrogen has a lower density and constructing such a storage for hydrogen instead of LRC might be technically more challenging
</text>
    <extLst>
      <x:ext xmlns:xltc2="http://schemas.microsoft.com/office/spreadsheetml/2020/threadedcomments2" uri="{F7C98A9C-CBB3-438F-8F68-D28B6AF4A901}">
        <xltc2:checksum>2408518649</xltc2:checksum>
        <xltc2:hyperlink startIndex="0" length="33" url="http://doi.org/10.55402/psi:63482"/>
      </x:ext>
    </extLst>
  </threadedComment>
  <threadedComment ref="M37" dT="2025-12-05T15:37:50.42" personId="{E5CFC1CE-D7A6-48D9-8448-B4EE9C5079C2}" id="{FAE1C2FC-ED53-49D5-A022-31AD6E07A711}">
    <text>https://ars.els-cdn.com/content/image/1-s2.0-S0196890424003674-mmc1.pdf
Table 5S</text>
    <extLst>
      <x:ext xmlns:xltc2="http://schemas.microsoft.com/office/spreadsheetml/2020/threadedcomments2" uri="{F7C98A9C-CBB3-438F-8F68-D28B6AF4A901}">
        <xltc2:checksum>950298388</xltc2:checksum>
        <xltc2:hyperlink startIndex="0" length="71" url="https://ars.els-cdn.com/content/image/1-s2.0-S0196890424003674-mmc1.pdf"/>
      </x:ext>
    </extLst>
  </threadedComment>
  <threadedComment ref="C38" dT="2025-12-05T15:55:47.26" personId="{E5CFC1CE-D7A6-48D9-8448-B4EE9C5079C2}" id="{F70581DF-8EE1-45B4-9557-5EBE06D8D579}">
    <text>https://nexus-e.org/wp-content/uploads/2022/08/Nexuse_Report_InputData_v2.pdf
Table 6</text>
    <extLst>
      <x:ext xmlns:xltc2="http://schemas.microsoft.com/office/spreadsheetml/2020/threadedcomments2" uri="{F7C98A9C-CBB3-438F-8F68-D28B6AF4A901}">
        <xltc2:checksum>2898235058</xltc2:checksum>
        <xltc2:hyperlink startIndex="0" length="77" url="https://nexus-e.org/wp-content/uploads/2022/08/Nexuse_Report_InputData_v2.pdf"/>
      </x:ext>
    </extLst>
  </threadedComment>
  <threadedComment ref="H38" dT="2025-12-03T11:45:56.43" personId="{E5CFC1CE-D7A6-48D9-8448-B4EE9C5079C2}" id="{62BF7804-1960-4BD4-B520-0F84D57CA1F2}">
    <text>https://www.lazard.com/media/xemfey0k/lazards-lcoeplus-june-2024-_vf.pdf
Die Quelle der Investitionskosten zu Kernkraftwerken geht bei Neuinvestitionen in den USA von Kosten von $8.765 - $14.400 pro kW aus. Die Umrechnung des Mittelwertes zu CHF2017 ergibt 8.637 CHF pro kW.</text>
    <extLst>
      <x:ext xmlns:xltc2="http://schemas.microsoft.com/office/spreadsheetml/2020/threadedcomments2" uri="{F7C98A9C-CBB3-438F-8F68-D28B6AF4A901}">
        <xltc2:checksum>2545883972</xltc2:checksum>
        <xltc2:hyperlink startIndex="0" length="72" url="https://www.lazard.com/media/xemfey0k/lazards-lcoeplus-june-2024-_vf.pdf"/>
      </x:ext>
    </extLst>
  </threadedComment>
  <threadedComment ref="L38" dT="2025-12-05T15:56:35.36" personId="{E5CFC1CE-D7A6-48D9-8448-B4EE9C5079C2}" id="{D11D5FBF-33C0-45B0-9D1E-2CB45CDAB78E}">
    <text>https://nexus-e.org/wp-content/uploads/2022/08/Nexuse_Report_InputData_v2.pdf
Table 20
Same costs assumed as for Germany and France</text>
    <extLst>
      <x:ext xmlns:xltc2="http://schemas.microsoft.com/office/spreadsheetml/2020/threadedcomments2" uri="{F7C98A9C-CBB3-438F-8F68-D28B6AF4A901}">
        <xltc2:checksum>3322769901</xltc2:checksum>
        <xltc2:hyperlink startIndex="0" length="77" url="https://nexus-e.org/wp-content/uploads/2022/08/Nexuse_Report_InputData_v2.pdf"/>
      </x:ext>
    </extLst>
  </threadedComment>
  <threadedComment ref="M38" dT="2025-12-05T15:37:50.42" personId="{E5CFC1CE-D7A6-48D9-8448-B4EE9C5079C2}" id="{762BF30A-67D7-4F7C-ACF4-517E9E45A50B}">
    <text>https://ars.els-cdn.com/content/image/1-s2.0-S0196890424003674-mmc1.pdf
Table 4S</text>
    <extLst>
      <x:ext xmlns:xltc2="http://schemas.microsoft.com/office/spreadsheetml/2020/threadedcomments2" uri="{F7C98A9C-CBB3-438F-8F68-D28B6AF4A901}">
        <xltc2:checksum>2544133908</xltc2:checksum>
        <xltc2:hyperlink startIndex="0" length="71" url="https://ars.els-cdn.com/content/image/1-s2.0-S0196890424003674-mmc1.pdf"/>
      </x:ext>
    </extLst>
  </threadedComment>
  <threadedComment ref="C39" dT="2025-12-05T15:55:47.26" personId="{E5CFC1CE-D7A6-48D9-8448-B4EE9C5079C2}" id="{38745A2B-FAEF-4A55-BE52-F2DCE990958E}">
    <text>https://nexus-e.org/wp-content/uploads/2022/08/Nexuse_Report_InputData_v2.pdf
Table 6</text>
    <extLst>
      <x:ext xmlns:xltc2="http://schemas.microsoft.com/office/spreadsheetml/2020/threadedcomments2" uri="{F7C98A9C-CBB3-438F-8F68-D28B6AF4A901}">
        <xltc2:checksum>2898235058</xltc2:checksum>
        <xltc2:hyperlink startIndex="0" length="77" url="https://nexus-e.org/wp-content/uploads/2022/08/Nexuse_Report_InputData_v2.pdf"/>
      </x:ext>
    </extLst>
  </threadedComment>
  <threadedComment ref="H39" dT="2025-12-03T11:45:59.95" personId="{E5CFC1CE-D7A6-48D9-8448-B4EE9C5079C2}" id="{1423E1A8-23D4-444B-BA46-7F7AE1719BC4}">
    <text xml:space="preserve">https://www.lazard.com/media/xemfey0k/lazards-lcoeplus-june-2024-_vf.pdf
Die Quelle der Investitionskosten zu Kernkraftwerken geht bei Neuinvestitionen in den USA von Kosten von $8.765 - $14.400 pro kW aus. Die Umrechnung des Mittelwertes zu CHF2017 ergibt 8.637 CHF pro kW.
</text>
    <extLst>
      <x:ext xmlns:xltc2="http://schemas.microsoft.com/office/spreadsheetml/2020/threadedcomments2" uri="{F7C98A9C-CBB3-438F-8F68-D28B6AF4A901}">
        <xltc2:checksum>454972837</xltc2:checksum>
        <xltc2:hyperlink startIndex="0" length="72" url="https://www.lazard.com/media/xemfey0k/lazards-lcoeplus-june-2024-_vf.pdf"/>
      </x:ext>
    </extLst>
  </threadedComment>
  <threadedComment ref="L39" dT="2025-12-05T15:56:35.36" personId="{E5CFC1CE-D7A6-48D9-8448-B4EE9C5079C2}" id="{DAF37FF7-6090-46AE-852B-5917ECC76E34}">
    <text>https://nexus-e.org/wp-content/uploads/2022/08/Nexuse_Report_InputData_v2.pdf
Table 20
Same costs assumed as for Germany and France</text>
    <extLst>
      <x:ext xmlns:xltc2="http://schemas.microsoft.com/office/spreadsheetml/2020/threadedcomments2" uri="{F7C98A9C-CBB3-438F-8F68-D28B6AF4A901}">
        <xltc2:checksum>3322769901</xltc2:checksum>
        <xltc2:hyperlink startIndex="0" length="77" url="https://nexus-e.org/wp-content/uploads/2022/08/Nexuse_Report_InputData_v2.pdf"/>
      </x:ext>
    </extLst>
  </threadedComment>
  <threadedComment ref="M39" dT="2025-12-05T15:37:50.42" personId="{E5CFC1CE-D7A6-48D9-8448-B4EE9C5079C2}" id="{0DA78E76-FBE1-4165-BDCC-3E2B60271EB2}">
    <text>https://ars.els-cdn.com/content/image/1-s2.0-S0196890424003674-mmc1.pdf
Table 4S</text>
    <extLst>
      <x:ext xmlns:xltc2="http://schemas.microsoft.com/office/spreadsheetml/2020/threadedcomments2" uri="{F7C98A9C-CBB3-438F-8F68-D28B6AF4A901}">
        <xltc2:checksum>2544133908</xltc2:checksum>
        <xltc2:hyperlink startIndex="0" length="71" url="https://ars.els-cdn.com/content/image/1-s2.0-S0196890424003674-mmc1.pdf"/>
      </x:ext>
    </extLst>
  </threadedComment>
  <threadedComment ref="C40" dT="2025-12-05T15:55:47.26" personId="{E5CFC1CE-D7A6-48D9-8448-B4EE9C5079C2}" id="{D7FD7CF9-2938-42A4-B020-A0E631FF0789}">
    <text>https://nexus-e.org/wp-content/uploads/2022/08/Nexuse_Report_InputData_v2.pdf
Table 6</text>
    <extLst>
      <x:ext xmlns:xltc2="http://schemas.microsoft.com/office/spreadsheetml/2020/threadedcomments2" uri="{F7C98A9C-CBB3-438F-8F68-D28B6AF4A901}">
        <xltc2:checksum>2898235058</xltc2:checksum>
        <xltc2:hyperlink startIndex="0" length="77" url="https://nexus-e.org/wp-content/uploads/2022/08/Nexuse_Report_InputData_v2.pdf"/>
      </x:ext>
    </extLst>
  </threadedComment>
  <threadedComment ref="E40" dT="2025-12-03T16:29:39.36" personId="{E5CFC1CE-D7A6-48D9-8448-B4EE9C5079C2}" id="{518450BD-7FF4-4C45-88F8-6381FED4D837}">
    <text>https://www.kbob.admin.ch/dam/de/sd-web/Ov7IumBLw3iS/20230116_Faktenblatt_CO2-Emissionsfaktoren_04-2024_DE.pdf
Table 1, Diesel value transformed to t/MWh</text>
    <extLst>
      <x:ext xmlns:xltc2="http://schemas.microsoft.com/office/spreadsheetml/2020/threadedcomments2" uri="{F7C98A9C-CBB3-438F-8F68-D28B6AF4A901}">
        <xltc2:checksum>2139093503</xltc2:checksum>
        <xltc2:hyperlink startIndex="0" length="110" url="https://www.kbob.admin.ch/dam/de/sd-web/Ov7IumBLw3iS/20230116_Faktenblatt_CO2-Emissionsfaktoren_04-2024_DE.pdf"/>
      </x:ext>
    </extLst>
  </threadedComment>
  <threadedComment ref="G40" dT="2025-12-02T09:49:37.26" personId="{E5CFC1CE-D7A6-48D9-8448-B4EE9C5079C2}" id="{7CD06502-576F-494A-A930-CF8D4871B07D}">
    <text>https://www.bfe.admin.ch/bfe/en/home/policy/energy-perspectives-2050-plus.html/
Table 7</text>
    <extLst>
      <x:ext xmlns:xltc2="http://schemas.microsoft.com/office/spreadsheetml/2020/threadedcomments2" uri="{F7C98A9C-CBB3-438F-8F68-D28B6AF4A901}">
        <xltc2:checksum>3823015825</xltc2:checksum>
        <xltc2:hyperlink startIndex="0" length="79" url="https://www.bfe.admin.ch/bfe/en/home/policy/energy-perspectives-2050-plus.html/"/>
      </x:ext>
    </extLst>
  </threadedComment>
  <threadedComment ref="H40" dT="2025-12-05T16:14:34.37" personId="{E5CFC1CE-D7A6-48D9-8448-B4EE9C5079C2}" id="{4E87243F-A485-4E26-92C7-C8F67ED6064C}">
    <text>Copied from oil assuming that a gas fired plant can be co-used as a dual fuel plant</text>
  </threadedComment>
  <threadedComment ref="K40" dT="2025-12-02T14:46:49.15" personId="{E5CFC1CE-D7A6-48D9-8448-B4EE9C5079C2}" id="{DD979372-2D05-43DD-9168-D28EB67F320B}">
    <text>see input\info_Oil_Storage_Cost_Calculation_15_58.txt</text>
  </threadedComment>
  <threadedComment ref="L40" dT="2025-12-05T16:17:28.17" personId="{E5CFC1CE-D7A6-48D9-8448-B4EE9C5079C2}" id="{B78E6270-09B9-44A0-B768-DC5102EA22E6}">
    <text xml:space="preserve">Copied from oil assuming that a gas fired plant can be co-used as a dual fuel plant
</text>
  </threadedComment>
  <threadedComment ref="M40" dT="2025-12-05T16:17:37.36" personId="{E5CFC1CE-D7A6-48D9-8448-B4EE9C5079C2}" id="{05B9C969-5D03-455B-9229-605612F5146E}">
    <text xml:space="preserve">Copied from oil assuming that a gas fired plant can be co-used as a dual fuel plant
</text>
  </threadedComment>
  <threadedComment ref="C41" dT="2025-12-05T15:55:47.26" personId="{E5CFC1CE-D7A6-48D9-8448-B4EE9C5079C2}" id="{3E6C851E-F4A7-439E-A73B-96F6109C175F}">
    <text>https://nexus-e.org/wp-content/uploads/2022/08/Nexuse_Report_InputData_v2.pdf
Table 6</text>
    <extLst>
      <x:ext xmlns:xltc2="http://schemas.microsoft.com/office/spreadsheetml/2020/threadedcomments2" uri="{F7C98A9C-CBB3-438F-8F68-D28B6AF4A901}">
        <xltc2:checksum>2898235058</xltc2:checksum>
        <xltc2:hyperlink startIndex="0" length="77" url="https://nexus-e.org/wp-content/uploads/2022/08/Nexuse_Report_InputData_v2.pdf"/>
      </x:ext>
    </extLst>
  </threadedComment>
  <threadedComment ref="E41" dT="2025-12-03T16:29:39.36" personId="{E5CFC1CE-D7A6-48D9-8448-B4EE9C5079C2}" id="{872D4B18-7023-4240-A5EF-A959A736F328}">
    <text>https://www.kbob.admin.ch/dam/de/sd-web/Ov7IumBLw3iS/20230116_Faktenblatt_CO2-Emissionsfaktoren_04-2024_DE.pdf
Table 1, Diesel value transformed to t/MWh</text>
    <extLst>
      <x:ext xmlns:xltc2="http://schemas.microsoft.com/office/spreadsheetml/2020/threadedcomments2" uri="{F7C98A9C-CBB3-438F-8F68-D28B6AF4A901}">
        <xltc2:checksum>2139093503</xltc2:checksum>
        <xltc2:hyperlink startIndex="0" length="110" url="https://www.kbob.admin.ch/dam/de/sd-web/Ov7IumBLw3iS/20230116_Faktenblatt_CO2-Emissionsfaktoren_04-2024_DE.pdf"/>
      </x:ext>
    </extLst>
  </threadedComment>
  <threadedComment ref="G41" dT="2025-12-02T09:49:42.49" personId="{E5CFC1CE-D7A6-48D9-8448-B4EE9C5079C2}" id="{007B3996-314D-452C-B4F3-E481D9FDAD0F}">
    <text>https://www.bfe.admin.ch/bfe/en/home/policy/energy-perspectives-2050-plus.html/
Table 7</text>
    <extLst>
      <x:ext xmlns:xltc2="http://schemas.microsoft.com/office/spreadsheetml/2020/threadedcomments2" uri="{F7C98A9C-CBB3-438F-8F68-D28B6AF4A901}">
        <xltc2:checksum>3823015825</xltc2:checksum>
        <xltc2:hyperlink startIndex="0" length="79" url="https://www.bfe.admin.ch/bfe/en/home/policy/energy-perspectives-2050-plus.html/"/>
      </x:ext>
    </extLst>
  </threadedComment>
  <threadedComment ref="H41" dT="2025-12-05T16:14:34.37" personId="{E5CFC1CE-D7A6-48D9-8448-B4EE9C5079C2}" id="{9BE787FA-FABB-4555-9A16-DA7946402D8E}">
    <text>Copied from oil assuming that a gas fired plant can be co-used as a dual fuel plant</text>
  </threadedComment>
  <threadedComment ref="K41" dT="2025-12-02T14:46:53.95" personId="{E5CFC1CE-D7A6-48D9-8448-B4EE9C5079C2}" id="{EDBA5C28-D5E5-4D50-923D-C7285B45AA82}">
    <text>see input\info_Oil_Storage_Cost_Calculation_15_58.txt</text>
  </threadedComment>
  <threadedComment ref="L41" dT="2025-12-05T16:17:40.60" personId="{E5CFC1CE-D7A6-48D9-8448-B4EE9C5079C2}" id="{877D5D86-1DE8-47A7-8742-C5FA70EA2A8C}">
    <text xml:space="preserve">Copied from oil assuming that a gas fired plant can be co-used as a dual fuel plant
</text>
  </threadedComment>
  <threadedComment ref="M41" dT="2025-12-05T16:17:43.64" personId="{E5CFC1CE-D7A6-48D9-8448-B4EE9C5079C2}" id="{EF9B3627-965F-4FC8-8C27-7D9A5BDD0EBE}">
    <text xml:space="preserve">Copied from oil assuming that a gas fired plant can be co-used as a dual fuel plant
</text>
  </threadedComment>
  <threadedComment ref="E42" dT="2025-12-08T12:41:50.44" personId="{E5CFC1CE-D7A6-48D9-8448-B4EE9C5079C2}" id="{5E38C287-F962-48AA-A3AB-BB9BA09D76D5}">
    <text>Might not be 0.</text>
  </threadedComment>
  <threadedComment ref="G42" dT="2025-12-02T10:18:03.28" personId="{E5CFC1CE-D7A6-48D9-8448-B4EE9C5079C2}" id="{7C81F5BE-832E-4E9C-A845-E1E6EFAD6B76}">
    <text>Requires update</text>
  </threadedComment>
  <threadedComment ref="E43" dT="2025-12-08T12:41:53.61" personId="{E5CFC1CE-D7A6-48D9-8448-B4EE9C5079C2}" id="{7972CAF5-7ED3-4839-9995-6CE31AF68F31}">
    <text xml:space="preserve">Might not be 0.
</text>
  </threadedComment>
  <threadedComment ref="G43" dT="2025-12-02T10:18:12.47" personId="{E5CFC1CE-D7A6-48D9-8448-B4EE9C5079C2}" id="{A9892ACD-DCE1-4940-B802-55CB8FC9568E}">
    <text>Requires update</text>
  </threadedComment>
  <threadedComment ref="C44" dT="2025-12-08T12:31:05.07" personId="{E5CFC1CE-D7A6-48D9-8448-B4EE9C5079C2}" id="{42069E5E-F154-4351-8096-F38733A3B982}">
    <text>Own assumption</text>
  </threadedComment>
  <threadedComment ref="D44" dT="2025-12-08T12:31:05.07" personId="{E5CFC1CE-D7A6-48D9-8448-B4EE9C5079C2}" id="{5D568205-189D-4C0F-A354-E60E1A2A5A86}">
    <text>Own assumption</text>
  </threadedComment>
  <threadedComment ref="C45" dT="2025-12-08T12:31:05.07" personId="{E5CFC1CE-D7A6-48D9-8448-B4EE9C5079C2}" id="{AD5D1C4F-1CFC-4800-9EFD-B8CB110F8244}">
    <text>Own assumption</text>
  </threadedComment>
  <threadedComment ref="D45" dT="2025-12-08T12:31:05.07" personId="{E5CFC1CE-D7A6-48D9-8448-B4EE9C5079C2}" id="{B6136E31-C634-4C1A-BE39-9AAB2E25F46C}">
    <text>Own assumption</text>
  </threadedComment>
  <threadedComment ref="C46" dT="2025-12-08T12:31:05.07" personId="{E5CFC1CE-D7A6-48D9-8448-B4EE9C5079C2}" id="{6FBBF41C-D847-4342-A95A-19064F450934}">
    <text>Own assumption</text>
  </threadedComment>
  <threadedComment ref="D46" dT="2025-12-08T12:31:05.07" personId="{E5CFC1CE-D7A6-48D9-8448-B4EE9C5079C2}" id="{7AD2EC57-6BF2-4625-AD52-61BC11BD12EC}">
    <text>Own assumption</text>
  </threadedComment>
  <threadedComment ref="C47" dT="2025-12-08T12:31:05.07" personId="{E5CFC1CE-D7A6-48D9-8448-B4EE9C5079C2}" id="{13A65F1B-6A2C-4B7F-A11C-A280FFFBAA6C}">
    <text>Own assumption</text>
  </threadedComment>
  <threadedComment ref="D47" dT="2025-12-08T12:31:05.07" personId="{E5CFC1CE-D7A6-48D9-8448-B4EE9C5079C2}" id="{17698F76-DEB4-457F-81C4-43E65E84D220}">
    <text>Own assumption</text>
  </threadedComment>
  <threadedComment ref="C48" dT="2025-12-03T11:38:57.34" personId="{E5CFC1CE-D7A6-48D9-8448-B4EE9C5079C2}" id="{1CED607C-2EAE-4BEA-B846-68A2D65A994E}">
    <text xml:space="preserve">Own assumption based on discussions with HSLU and
https://doi.org/10.1115/1.4069122
</text>
    <extLst>
      <x:ext xmlns:xltc2="http://schemas.microsoft.com/office/spreadsheetml/2020/threadedcomments2" uri="{F7C98A9C-CBB3-438F-8F68-D28B6AF4A901}">
        <xltc2:checksum>2903488123</xltc2:checksum>
        <xltc2:hyperlink startIndex="51" length="33" url="https://doi.org/10.1115/1.4069122"/>
      </x:ext>
    </extLst>
  </threadedComment>
  <threadedComment ref="D48" dT="2025-12-03T11:39:02.93" personId="{E5CFC1CE-D7A6-48D9-8448-B4EE9C5079C2}" id="{4B11B66B-88C7-439B-99D7-B881793F9AF7}">
    <text xml:space="preserve">Own assumption based on discussions with HSLU and
https://doi.org/10.1115/1.4069122
</text>
    <extLst>
      <x:ext xmlns:xltc2="http://schemas.microsoft.com/office/spreadsheetml/2020/threadedcomments2" uri="{F7C98A9C-CBB3-438F-8F68-D28B6AF4A901}">
        <xltc2:checksum>2903488123</xltc2:checksum>
        <xltc2:hyperlink startIndex="51" length="33" url="https://doi.org/10.1115/1.4069122"/>
      </x:ext>
    </extLst>
  </threadedComment>
  <threadedComment ref="H48" dT="2025-12-03T11:37:41.18" personId="{E5CFC1CE-D7A6-48D9-8448-B4EE9C5079C2}" id="{18FDF8B2-540C-4B49-BB41-02BDF27CEEDC}">
    <text xml:space="preserve">Own assumption based on discussions with HSLU and
https://doi.org/10.1115/1.4069122
</text>
    <extLst>
      <x:ext xmlns:xltc2="http://schemas.microsoft.com/office/spreadsheetml/2020/threadedcomments2" uri="{F7C98A9C-CBB3-438F-8F68-D28B6AF4A901}">
        <xltc2:checksum>2903488123</xltc2:checksum>
        <xltc2:hyperlink startIndex="51" length="33" url="https://doi.org/10.1115/1.4069122"/>
      </x:ext>
    </extLst>
  </threadedComment>
  <threadedComment ref="J48" dT="2025-12-02T14:34:13.54" personId="{E5CFC1CE-D7A6-48D9-8448-B4EE9C5079C2}" id="{3B3B0576-28B0-4929-BA62-30483F7A9B56}">
    <text>Own assumption based on discussions with HSLU and
https://doi.org/10.1115/1.4069122</text>
    <extLst>
      <x:ext xmlns:xltc2="http://schemas.microsoft.com/office/spreadsheetml/2020/threadedcomments2" uri="{F7C98A9C-CBB3-438F-8F68-D28B6AF4A901}">
        <xltc2:checksum>406695172</xltc2:checksum>
        <xltc2:hyperlink startIndex="51" length="33" url="https://doi.org/10.1115/1.4069122"/>
      </x:ext>
    </extLst>
  </threadedComment>
  <threadedComment ref="M48" dT="2025-12-03T11:38:00.38" personId="{E5CFC1CE-D7A6-48D9-8448-B4EE9C5079C2}" id="{380FE5CE-6AEC-4F52-B198-4EC85255083F}">
    <text xml:space="preserve">Own assumption based on discussions with HSLU and
https://doi.org/10.1115/1.4069122
</text>
    <extLst>
      <x:ext xmlns:xltc2="http://schemas.microsoft.com/office/spreadsheetml/2020/threadedcomments2" uri="{F7C98A9C-CBB3-438F-8F68-D28B6AF4A901}">
        <xltc2:checksum>2903488123</xltc2:checksum>
        <xltc2:hyperlink startIndex="51" length="33" url="https://doi.org/10.1115/1.4069122"/>
      </x:ext>
    </extLst>
  </threadedComment>
  <threadedComment ref="C49" dT="2025-12-03T11:39:00.01" personId="{E5CFC1CE-D7A6-48D9-8448-B4EE9C5079C2}" id="{F9D460E1-AA92-4B9D-BE1E-D7CC57E0A69C}">
    <text xml:space="preserve">Own assumption based on discussions with HSLU and
https://doi.org/10.1115/1.4069122
</text>
    <extLst>
      <x:ext xmlns:xltc2="http://schemas.microsoft.com/office/spreadsheetml/2020/threadedcomments2" uri="{F7C98A9C-CBB3-438F-8F68-D28B6AF4A901}">
        <xltc2:checksum>2903488123</xltc2:checksum>
        <xltc2:hyperlink startIndex="51" length="33" url="https://doi.org/10.1115/1.4069122"/>
      </x:ext>
    </extLst>
  </threadedComment>
  <threadedComment ref="D49" dT="2025-12-03T11:39:06.09" personId="{E5CFC1CE-D7A6-48D9-8448-B4EE9C5079C2}" id="{EED2CA4C-0C69-427A-A3BB-1CC5891561A8}">
    <text xml:space="preserve">Own assumption based on discussions with HSLU and
https://doi.org/10.1115/1.4069122
</text>
    <extLst>
      <x:ext xmlns:xltc2="http://schemas.microsoft.com/office/spreadsheetml/2020/threadedcomments2" uri="{F7C98A9C-CBB3-438F-8F68-D28B6AF4A901}">
        <xltc2:checksum>2903488123</xltc2:checksum>
        <xltc2:hyperlink startIndex="51" length="33" url="https://doi.org/10.1115/1.4069122"/>
      </x:ext>
    </extLst>
  </threadedComment>
  <threadedComment ref="H49" dT="2025-12-03T11:37:45.19" personId="{E5CFC1CE-D7A6-48D9-8448-B4EE9C5079C2}" id="{119B9A2D-7977-44E0-95EE-EAD2F5C3E217}">
    <text xml:space="preserve">Own assumption based on discussions with HSLU and
https://doi.org/10.1115/1.4069122
</text>
    <extLst>
      <x:ext xmlns:xltc2="http://schemas.microsoft.com/office/spreadsheetml/2020/threadedcomments2" uri="{F7C98A9C-CBB3-438F-8F68-D28B6AF4A901}">
        <xltc2:checksum>2903488123</xltc2:checksum>
        <xltc2:hyperlink startIndex="51" length="33" url="https://doi.org/10.1115/1.4069122"/>
      </x:ext>
    </extLst>
  </threadedComment>
  <threadedComment ref="J49" dT="2025-12-02T14:34:16.96" personId="{E5CFC1CE-D7A6-48D9-8448-B4EE9C5079C2}" id="{7747A789-49B5-48F9-BDF1-26861AF7B031}">
    <text>Own assumption based on discussions with HSLU and
https://doi.org/10.1115/1.4069122</text>
    <extLst>
      <x:ext xmlns:xltc2="http://schemas.microsoft.com/office/spreadsheetml/2020/threadedcomments2" uri="{F7C98A9C-CBB3-438F-8F68-D28B6AF4A901}">
        <xltc2:checksum>406695172</xltc2:checksum>
        <xltc2:hyperlink startIndex="51" length="33" url="https://doi.org/10.1115/1.4069122"/>
      </x:ext>
    </extLst>
  </threadedComment>
  <threadedComment ref="M49" dT="2025-12-03T11:38:04.29" personId="{E5CFC1CE-D7A6-48D9-8448-B4EE9C5079C2}" id="{DA1A4F0E-4897-434F-97C4-7297B800375D}">
    <text xml:space="preserve">Own assumption based on discussions with HSLU and
https://doi.org/10.1115/1.4069122
</text>
    <extLst>
      <x:ext xmlns:xltc2="http://schemas.microsoft.com/office/spreadsheetml/2020/threadedcomments2" uri="{F7C98A9C-CBB3-438F-8F68-D28B6AF4A901}">
        <xltc2:checksum>2903488123</xltc2:checksum>
        <xltc2:hyperlink startIndex="51" length="33" url="https://doi.org/10.1115/1.4069122"/>
      </x:ext>
    </extLst>
  </threadedComment>
  <threadedComment ref="C50" dT="2025-12-08T12:41:13.68" personId="{E5CFC1CE-D7A6-48D9-8448-B4EE9C5079C2}" id="{D7878C6C-5289-44F0-95A5-85FC71FED5C2}">
    <text>The feed-in of PV works according to weather year dependant feed-in profiles. Therefore, the efficiency here can just be set to 1.</text>
  </threadedComment>
  <threadedComment ref="F50" dT="2025-12-02T14:19:12.30" personId="{E5CFC1CE-D7A6-48D9-8448-B4EE9C5079C2}" id="{0C873E3E-FF38-43F9-AA7C-7295B4A625FB}">
    <text>https://www.bfe.admin.ch/bfe/en/home/policy/energy-perspectives-2050-plus.html/
Table 60</text>
    <extLst>
      <x:ext xmlns:xltc2="http://schemas.microsoft.com/office/spreadsheetml/2020/threadedcomments2" uri="{F7C98A9C-CBB3-438F-8F68-D28B6AF4A901}">
        <xltc2:checksum>954609962</xltc2:checksum>
        <xltc2:hyperlink startIndex="0" length="79" url="https://www.bfe.admin.ch/bfe/en/home/policy/energy-perspectives-2050-plus.html/"/>
      </x:ext>
    </extLst>
  </threadedComment>
  <threadedComment ref="H50" dT="2025-12-01T15:56:22.60" personId="{E5CFC1CE-D7A6-48D9-8448-B4EE9C5079C2}" id="{B2E4E807-F2C6-4018-AE3A-686458004D8E}">
    <text xml:space="preserve">The investment costs for 2050 are taken from NEXUS-E, which only provides values for this year. The investment costs for 2035 are calculated on the basis of the 2050 values and adjusted upwards. This adjustment is made using a scaling factor derived from the learning curve assumed in EP2050+ for the period between 2035 and 2050.
</text>
  </threadedComment>
  <threadedComment ref="M50" dT="2025-12-08T12:40:10.05" personId="{E5CFC1CE-D7A6-48D9-8448-B4EE9C5079C2}" id="{E20AC9CF-BC4D-4FB9-A5E4-FF03C0E62B5C}">
    <text>https://ars.els-cdn.com/content/image/1-s2.0-S0196890424003674-mmc1.pdf
Table 3S</text>
    <extLst>
      <x:ext xmlns:xltc2="http://schemas.microsoft.com/office/spreadsheetml/2020/threadedcomments2" uri="{F7C98A9C-CBB3-438F-8F68-D28B6AF4A901}">
        <xltc2:checksum>3668207333</xltc2:checksum>
        <xltc2:hyperlink startIndex="0" length="71" url="https://ars.els-cdn.com/content/image/1-s2.0-S0196890424003674-mmc1.pdf"/>
      </x:ext>
    </extLst>
  </threadedComment>
  <threadedComment ref="C51" dT="2025-12-08T12:41:16.54" personId="{E5CFC1CE-D7A6-48D9-8448-B4EE9C5079C2}" id="{56874849-E142-4ED0-95B0-C947C90100A1}">
    <text xml:space="preserve">The feed-in of PV works according to weather year dependant feed-in profiles. Therefore, the efficiency here can just be set to 1.
</text>
  </threadedComment>
  <threadedComment ref="F51" dT="2025-12-02T14:19:16.87" personId="{E5CFC1CE-D7A6-48D9-8448-B4EE9C5079C2}" id="{04EC6085-0596-42B4-BFC1-AE08069E68DB}">
    <text>https://www.bfe.admin.ch/bfe/en/home/policy/energy-perspectives-2050-plus.html/
Table 60</text>
    <extLst>
      <x:ext xmlns:xltc2="http://schemas.microsoft.com/office/spreadsheetml/2020/threadedcomments2" uri="{F7C98A9C-CBB3-438F-8F68-D28B6AF4A901}">
        <xltc2:checksum>954609962</xltc2:checksum>
        <xltc2:hyperlink startIndex="0" length="79" url="https://www.bfe.admin.ch/bfe/en/home/policy/energy-perspectives-2050-plus.html/"/>
      </x:ext>
    </extLst>
  </threadedComment>
  <threadedComment ref="H51" dT="2025-12-01T15:56:27.14" personId="{E5CFC1CE-D7A6-48D9-8448-B4EE9C5079C2}" id="{BA615197-5E65-4B20-9B79-541DFAA2B3DF}">
    <text xml:space="preserve">The investment costs for 2050 are taken from NEXUS-E, which only provides values for this year. The investment costs for 2035 are calculated on the basis of the 2050 values and adjusted upwards. This adjustment is made using a scaling factor derived from the learning curve assumed in EP2050+ for the period between 2035 and 2050.
</text>
  </threadedComment>
  <threadedComment ref="M51" dT="2025-12-08T12:40:10.05" personId="{E5CFC1CE-D7A6-48D9-8448-B4EE9C5079C2}" id="{7E7B581F-9736-4AAE-BD51-18FBF6CA2264}">
    <text>https://ars.els-cdn.com/content/image/1-s2.0-S0196890424003674-mmc1.pdf
Table 3S</text>
    <extLst>
      <x:ext xmlns:xltc2="http://schemas.microsoft.com/office/spreadsheetml/2020/threadedcomments2" uri="{F7C98A9C-CBB3-438F-8F68-D28B6AF4A901}">
        <xltc2:checksum>3668207333</xltc2:checksum>
        <xltc2:hyperlink startIndex="0" length="71" url="https://ars.els-cdn.com/content/image/1-s2.0-S0196890424003674-mmc1.pdf"/>
      </x:ext>
    </extLst>
  </threadedComment>
  <threadedComment ref="C52" dT="2025-12-04T14:35:21.91" personId="{E5CFC1CE-D7A6-48D9-8448-B4EE9C5079C2}" id="{BD9A823B-D7CB-41D4-B29C-81606CFE2F05}">
    <text xml:space="preserve">https://ars.els-cdn.com/content/image/1-s2.0-S0196890424003674-mmc1.pdf
Table 8S
</text>
    <extLst>
      <x:ext xmlns:xltc2="http://schemas.microsoft.com/office/spreadsheetml/2020/threadedcomments2" uri="{F7C98A9C-CBB3-438F-8F68-D28B6AF4A901}">
        <xltc2:checksum>1685956572</xltc2:checksum>
        <xltc2:hyperlink startIndex="0" length="71" url="https://ars.els-cdn.com/content/image/1-s2.0-S0196890424003674-mmc1.pdf"/>
      </x:ext>
    </extLst>
  </threadedComment>
  <threadedComment ref="F52" dT="2025-12-04T14:35:04.62" personId="{E5CFC1CE-D7A6-48D9-8448-B4EE9C5079C2}" id="{E8D31F90-D98E-4871-B84B-84652C9B4B77}">
    <text xml:space="preserve">https://ars.els-cdn.com/content/image/1-s2.0-S0196890424003674-mmc1.pdf
Table 8S
</text>
    <extLst>
      <x:ext xmlns:xltc2="http://schemas.microsoft.com/office/spreadsheetml/2020/threadedcomments2" uri="{F7C98A9C-CBB3-438F-8F68-D28B6AF4A901}">
        <xltc2:checksum>1685956572</xltc2:checksum>
        <xltc2:hyperlink startIndex="0" length="71" url="https://ars.els-cdn.com/content/image/1-s2.0-S0196890424003674-mmc1.pdf"/>
      </x:ext>
    </extLst>
  </threadedComment>
  <threadedComment ref="H52" dT="2025-12-04T14:34:57.88" personId="{E5CFC1CE-D7A6-48D9-8448-B4EE9C5079C2}" id="{32289A4A-907F-4E4E-86F8-47ECFE767A90}">
    <text xml:space="preserve">https://ars.els-cdn.com/content/image/1-s2.0-S0196890424003674-mmc1.pdf
Table 8S
</text>
    <extLst>
      <x:ext xmlns:xltc2="http://schemas.microsoft.com/office/spreadsheetml/2020/threadedcomments2" uri="{F7C98A9C-CBB3-438F-8F68-D28B6AF4A901}">
        <xltc2:checksum>1685956572</xltc2:checksum>
        <xltc2:hyperlink startIndex="0" length="71" url="https://ars.els-cdn.com/content/image/1-s2.0-S0196890424003674-mmc1.pdf"/>
      </x:ext>
    </extLst>
  </threadedComment>
  <threadedComment ref="M52" dT="2025-12-01T15:11:38.26" personId="{E5CFC1CE-D7A6-48D9-8448-B4EE9C5079C2}" id="{FCDECC75-B1F8-4726-A70E-69DE986EC24C}">
    <text>https://ars.els-cdn.com/content/image/1-s2.0-S0196890424003674-mmc1.pdf
Table 8S</text>
    <extLst>
      <x:ext xmlns:xltc2="http://schemas.microsoft.com/office/spreadsheetml/2020/threadedcomments2" uri="{F7C98A9C-CBB3-438F-8F68-D28B6AF4A901}">
        <xltc2:checksum>1403282521</xltc2:checksum>
        <xltc2:hyperlink startIndex="0" length="71" url="https://ars.els-cdn.com/content/image/1-s2.0-S0196890424003674-mmc1.pdf"/>
      </x:ext>
    </extLst>
  </threadedComment>
  <threadedComment ref="C53" dT="2025-12-04T14:35:25.05" personId="{E5CFC1CE-D7A6-48D9-8448-B4EE9C5079C2}" id="{246CF1DC-0F83-41F7-A834-CF3521B8BE97}">
    <text xml:space="preserve">https://ars.els-cdn.com/content/image/1-s2.0-S0196890424003674-mmc1.pdf
Table 8S
</text>
    <extLst>
      <x:ext xmlns:xltc2="http://schemas.microsoft.com/office/spreadsheetml/2020/threadedcomments2" uri="{F7C98A9C-CBB3-438F-8F68-D28B6AF4A901}">
        <xltc2:checksum>1685956572</xltc2:checksum>
        <xltc2:hyperlink startIndex="0" length="71" url="https://ars.els-cdn.com/content/image/1-s2.0-S0196890424003674-mmc1.pdf"/>
      </x:ext>
    </extLst>
  </threadedComment>
  <threadedComment ref="F53" dT="2025-12-04T14:35:07.66" personId="{E5CFC1CE-D7A6-48D9-8448-B4EE9C5079C2}" id="{6A39F240-4180-459A-91B3-C953BC615AE3}">
    <text xml:space="preserve">https://ars.els-cdn.com/content/image/1-s2.0-S0196890424003674-mmc1.pdf
Table 8S
</text>
    <extLst>
      <x:ext xmlns:xltc2="http://schemas.microsoft.com/office/spreadsheetml/2020/threadedcomments2" uri="{F7C98A9C-CBB3-438F-8F68-D28B6AF4A901}">
        <xltc2:checksum>1685956572</xltc2:checksum>
        <xltc2:hyperlink startIndex="0" length="71" url="https://ars.els-cdn.com/content/image/1-s2.0-S0196890424003674-mmc1.pdf"/>
      </x:ext>
    </extLst>
  </threadedComment>
  <threadedComment ref="H53" dT="2025-12-04T14:35:01.55" personId="{E5CFC1CE-D7A6-48D9-8448-B4EE9C5079C2}" id="{92200F7B-3013-4386-B877-2312CF7DAADB}">
    <text xml:space="preserve">https://ars.els-cdn.com/content/image/1-s2.0-S0196890424003674-mmc1.pdf
Table 8S
</text>
    <extLst>
      <x:ext xmlns:xltc2="http://schemas.microsoft.com/office/spreadsheetml/2020/threadedcomments2" uri="{F7C98A9C-CBB3-438F-8F68-D28B6AF4A901}">
        <xltc2:checksum>1685956572</xltc2:checksum>
        <xltc2:hyperlink startIndex="0" length="71" url="https://ars.els-cdn.com/content/image/1-s2.0-S0196890424003674-mmc1.pdf"/>
      </x:ext>
    </extLst>
  </threadedComment>
  <threadedComment ref="M53" dT="2025-12-01T15:11:45.16" personId="{E5CFC1CE-D7A6-48D9-8448-B4EE9C5079C2}" id="{0A01FA67-4C20-460A-A232-0AC78CE742F5}">
    <text>https://ars.els-cdn.com/content/image/1-s2.0-S0196890424003674-mmc1.pdf
Table 8S</text>
    <extLst>
      <x:ext xmlns:xltc2="http://schemas.microsoft.com/office/spreadsheetml/2020/threadedcomments2" uri="{F7C98A9C-CBB3-438F-8F68-D28B6AF4A901}">
        <xltc2:checksum>1403282521</xltc2:checksum>
        <xltc2:hyperlink startIndex="0" length="71" url="https://ars.els-cdn.com/content/image/1-s2.0-S0196890424003674-mmc1.pdf"/>
      </x:ext>
    </extLst>
  </threadedComment>
  <threadedComment ref="K54" dT="2025-12-02T14:42:45.54" personId="{E5CFC1CE-D7A6-48D9-8448-B4EE9C5079C2}" id="{D58F42BD-8B0A-46AE-A81D-9DA852F58E20}">
    <text>http://doi.org/10.55402/psi:63482
Table 1</text>
    <extLst>
      <x:ext xmlns:xltc2="http://schemas.microsoft.com/office/spreadsheetml/2020/threadedcomments2" uri="{F7C98A9C-CBB3-438F-8F68-D28B6AF4A901}">
        <xltc2:checksum>789791702</xltc2:checksum>
        <xltc2:hyperlink startIndex="0" length="33" url="http://doi.org/10.55402/psi:63482"/>
      </x:ext>
    </extLst>
  </threadedComment>
  <threadedComment ref="K55" dT="2025-12-02T14:42:58.80" personId="{E5CFC1CE-D7A6-48D9-8448-B4EE9C5079C2}" id="{DFBC56CD-EEF5-495A-B4F6-B584896D563E}">
    <text xml:space="preserve">http://doi.org/10.55402/psi:63482
Table 1
</text>
    <extLst>
      <x:ext xmlns:xltc2="http://schemas.microsoft.com/office/spreadsheetml/2020/threadedcomments2" uri="{F7C98A9C-CBB3-438F-8F68-D28B6AF4A901}">
        <xltc2:checksum>1136785409</xltc2:checksum>
        <xltc2:hyperlink startIndex="0" length="33" url="http://doi.org/10.55402/psi:63482"/>
      </x:ext>
    </extLst>
  </threadedComment>
  <threadedComment ref="C56" dT="2025-12-05T10:49:20.06" personId="{E5CFC1CE-D7A6-48D9-8448-B4EE9C5079C2}" id="{9186BA40-AEFE-4CEE-8644-DEC15BAEB1AA}">
    <text xml:space="preserve">https://ars.els-cdn.com/content/image/1-s2.0-S0196890424003674-mmc1.pdf
Table 4S
</text>
    <extLst>
      <x:ext xmlns:xltc2="http://schemas.microsoft.com/office/spreadsheetml/2020/threadedcomments2" uri="{F7C98A9C-CBB3-438F-8F68-D28B6AF4A901}">
        <xltc2:checksum>1733188572</xltc2:checksum>
        <xltc2:hyperlink startIndex="0" length="71" url="https://ars.els-cdn.com/content/image/1-s2.0-S0196890424003674-mmc1.pdf"/>
      </x:ext>
    </extLst>
  </threadedComment>
  <threadedComment ref="E56" dT="2025-12-03T16:25:31.99" personId="{E5CFC1CE-D7A6-48D9-8448-B4EE9C5079C2}" id="{CCA94DD0-EE1C-435A-A0EB-64B909541B3C}">
    <text>https://www.kbob.admin.ch/dam/de/sd-web/Ov7IumBLw3iS/20230116_Faktenblatt_CO2-Emissionsfaktoren_04-2024_DE.pdf
Table 2, 2023 value transformed to t/MWh</text>
    <extLst>
      <x:ext xmlns:xltc2="http://schemas.microsoft.com/office/spreadsheetml/2020/threadedcomments2" uri="{F7C98A9C-CBB3-438F-8F68-D28B6AF4A901}">
        <xltc2:checksum>964989745</xltc2:checksum>
        <xltc2:hyperlink startIndex="0" length="110" url="https://www.kbob.admin.ch/dam/de/sd-web/Ov7IumBLw3iS/20230116_Faktenblatt_CO2-Emissionsfaktoren_04-2024_DE.pdf"/>
      </x:ext>
    </extLst>
  </threadedComment>
  <threadedComment ref="G56" dT="2025-12-02T10:21:35.18" personId="{E5CFC1CE-D7A6-48D9-8448-B4EE9C5079C2}" id="{E9EAC069-A54F-4E15-A19F-699042750F3B}">
    <text>Same as gas</text>
  </threadedComment>
  <threadedComment ref="H56" dT="2025-12-05T10:57:53.22" personId="{E5CFC1CE-D7A6-48D9-8448-B4EE9C5079C2}" id="{5E942F32-D5C7-449A-B512-C4038A528958}">
    <text>https://www.gov.uk/government/publications/beis-electricity-generation-costs-2020
„Electricity generation costs: key data assumptions for generation technologies„
Based on that, it was estimated that the SCGT investment costs should be ⅔ of the CCGT without CCS investment costs.
In 
https://ars.els-cdn.com/content/image/1-s2.0-S0196890424003674-mmc1.pdf
Table 4S, SCGT investment costs are higher than CCGT investment costs which seemed potentially wrong.</text>
    <extLst>
      <x:ext xmlns:xltc2="http://schemas.microsoft.com/office/spreadsheetml/2020/threadedcomments2" uri="{F7C98A9C-CBB3-438F-8F68-D28B6AF4A901}">
        <xltc2:checksum>3533446287</xltc2:checksum>
        <xltc2:hyperlink startIndex="0" length="81" url="https://www.gov.uk/government/publications/beis-electricity-generation-costs-2020"/>
      </x:ext>
    </extLst>
  </threadedComment>
  <threadedComment ref="L56" dT="2025-12-05T10:47:26.07" personId="{E5CFC1CE-D7A6-48D9-8448-B4EE9C5079C2}" id="{C621F8CA-C8B2-4D6D-B7A7-DE59A29A7FC6}">
    <text xml:space="preserve">https://ars.els-cdn.com/content/image/1-s2.0-S0196890424003674-mmc1.pdf
Table 4S
</text>
    <extLst>
      <x:ext xmlns:xltc2="http://schemas.microsoft.com/office/spreadsheetml/2020/threadedcomments2" uri="{F7C98A9C-CBB3-438F-8F68-D28B6AF4A901}">
        <xltc2:checksum>1733188572</xltc2:checksum>
        <xltc2:hyperlink startIndex="0" length="71" url="https://ars.els-cdn.com/content/image/1-s2.0-S0196890424003674-mmc1.pdf"/>
      </x:ext>
    </extLst>
  </threadedComment>
  <threadedComment ref="M56" dT="2025-12-04T16:30:25.88" personId="{E5CFC1CE-D7A6-48D9-8448-B4EE9C5079C2}" id="{958F0854-FFD4-475F-B85C-98B4E50A5E99}">
    <text>https://ars.els-cdn.com/content/image/1-s2.0-S0196890424003674-mmc1.pdf
Table 4S</text>
    <extLst>
      <x:ext xmlns:xltc2="http://schemas.microsoft.com/office/spreadsheetml/2020/threadedcomments2" uri="{F7C98A9C-CBB3-438F-8F68-D28B6AF4A901}">
        <xltc2:checksum>2544133908</xltc2:checksum>
        <xltc2:hyperlink startIndex="0" length="71" url="https://ars.els-cdn.com/content/image/1-s2.0-S0196890424003674-mmc1.pdf"/>
      </x:ext>
    </extLst>
  </threadedComment>
  <threadedComment ref="C57" dT="2025-12-05T10:49:23.01" personId="{E5CFC1CE-D7A6-48D9-8448-B4EE9C5079C2}" id="{1B3323A8-4447-4B46-A207-C3CF5E7BFEBF}">
    <text xml:space="preserve">https://ars.els-cdn.com/content/image/1-s2.0-S0196890424003674-mmc1.pdf
Table 4S
</text>
    <extLst>
      <x:ext xmlns:xltc2="http://schemas.microsoft.com/office/spreadsheetml/2020/threadedcomments2" uri="{F7C98A9C-CBB3-438F-8F68-D28B6AF4A901}">
        <xltc2:checksum>1733188572</xltc2:checksum>
        <xltc2:hyperlink startIndex="0" length="71" url="https://ars.els-cdn.com/content/image/1-s2.0-S0196890424003674-mmc1.pdf"/>
      </x:ext>
    </extLst>
  </threadedComment>
  <threadedComment ref="E57" dT="2025-12-03T16:25:31.99" personId="{E5CFC1CE-D7A6-48D9-8448-B4EE9C5079C2}" id="{4599AC2C-6074-46C8-9C38-0FDDF278F763}">
    <text>https://www.kbob.admin.ch/dam/de/sd-web/Ov7IumBLw3iS/20230116_Faktenblatt_CO2-Emissionsfaktoren_04-2024_DE.pdf
Table 2, 2023 value transformed to t/MWh</text>
    <extLst>
      <x:ext xmlns:xltc2="http://schemas.microsoft.com/office/spreadsheetml/2020/threadedcomments2" uri="{F7C98A9C-CBB3-438F-8F68-D28B6AF4A901}">
        <xltc2:checksum>964989745</xltc2:checksum>
        <xltc2:hyperlink startIndex="0" length="110" url="https://www.kbob.admin.ch/dam/de/sd-web/Ov7IumBLw3iS/20230116_Faktenblatt_CO2-Emissionsfaktoren_04-2024_DE.pdf"/>
      </x:ext>
    </extLst>
  </threadedComment>
  <threadedComment ref="G57" dT="2025-12-02T10:21:42.59" personId="{E5CFC1CE-D7A6-48D9-8448-B4EE9C5079C2}" id="{56AD02EE-4EDA-4034-A01C-0ECD2C7985AF}">
    <text>Same as gas</text>
  </threadedComment>
  <threadedComment ref="H57" dT="2025-12-05T10:57:53.22" personId="{E5CFC1CE-D7A6-48D9-8448-B4EE9C5079C2}" id="{05B505F5-9D54-4978-A4EF-2AA6D8AAEA14}">
    <text>https://www.gov.uk/government/publications/beis-electricity-generation-costs-2020
„Electricity generation costs: key data assumptions for generation technologies„
Based on that, it was estimated that the SCGT investment costs should be ⅔ of the CCGT without CCS investment costs.
In 
https://ars.els-cdn.com/content/image/1-s2.0-S0196890424003674-mmc1.pdf
Table 4S, SCGT investment costs are higher than CCGT investment costs which seemed potentially wrong.</text>
    <extLst>
      <x:ext xmlns:xltc2="http://schemas.microsoft.com/office/spreadsheetml/2020/threadedcomments2" uri="{F7C98A9C-CBB3-438F-8F68-D28B6AF4A901}">
        <xltc2:checksum>3533446287</xltc2:checksum>
        <xltc2:hyperlink startIndex="0" length="81" url="https://www.gov.uk/government/publications/beis-electricity-generation-costs-2020"/>
      </x:ext>
    </extLst>
  </threadedComment>
  <threadedComment ref="L57" dT="2025-12-05T10:47:26.07" personId="{E5CFC1CE-D7A6-48D9-8448-B4EE9C5079C2}" id="{8E95EDAD-C1F6-4FE3-B918-860F43C9668D}">
    <text xml:space="preserve">https://ars.els-cdn.com/content/image/1-s2.0-S0196890424003674-mmc1.pdf
Table 4S
</text>
    <extLst>
      <x:ext xmlns:xltc2="http://schemas.microsoft.com/office/spreadsheetml/2020/threadedcomments2" uri="{F7C98A9C-CBB3-438F-8F68-D28B6AF4A901}">
        <xltc2:checksum>1733188572</xltc2:checksum>
        <xltc2:hyperlink startIndex="0" length="71" url="https://ars.els-cdn.com/content/image/1-s2.0-S0196890424003674-mmc1.pdf"/>
      </x:ext>
    </extLst>
  </threadedComment>
  <threadedComment ref="M57" dT="2025-12-04T16:30:32.08" personId="{E5CFC1CE-D7A6-48D9-8448-B4EE9C5079C2}" id="{01A63EFA-2F34-403F-AD84-017AE294B0A8}">
    <text xml:space="preserve">https://ars.els-cdn.com/content/image/1-s2.0-S0196890424003674-mmc1.pdf
Table 4S
</text>
    <extLst>
      <x:ext xmlns:xltc2="http://schemas.microsoft.com/office/spreadsheetml/2020/threadedcomments2" uri="{F7C98A9C-CBB3-438F-8F68-D28B6AF4A901}">
        <xltc2:checksum>1733188572</xltc2:checksum>
        <xltc2:hyperlink startIndex="0" length="71" url="https://ars.els-cdn.com/content/image/1-s2.0-S0196890424003674-mmc1.pdf"/>
      </x:ext>
    </extLst>
  </threadedComment>
  <threadedComment ref="C58" dT="2025-12-05T10:49:26.01" personId="{E5CFC1CE-D7A6-48D9-8448-B4EE9C5079C2}" id="{2F167BE8-6813-44AF-A66E-C2F2ECD2BF28}">
    <text xml:space="preserve">https://ars.els-cdn.com/content/image/1-s2.0-S0196890424003674-mmc1.pdf
Table 4S
</text>
    <extLst>
      <x:ext xmlns:xltc2="http://schemas.microsoft.com/office/spreadsheetml/2020/threadedcomments2" uri="{F7C98A9C-CBB3-438F-8F68-D28B6AF4A901}">
        <xltc2:checksum>1733188572</xltc2:checksum>
        <xltc2:hyperlink startIndex="0" length="71" url="https://ars.els-cdn.com/content/image/1-s2.0-S0196890424003674-mmc1.pdf"/>
      </x:ext>
    </extLst>
  </threadedComment>
  <threadedComment ref="G58" dT="2025-12-01T16:24:22.23" personId="{E5CFC1CE-D7A6-48D9-8448-B4EE9C5079C2}" id="{994D1F31-8201-4078-A9A3-35D8149BABB3}">
    <text>https://ars.els-cdn.com/content/image/1-s2.0-S0196890424003674-mmc1.pdf
Table 14S
55.0 * 3.6</text>
    <extLst>
      <x:ext xmlns:xltc2="http://schemas.microsoft.com/office/spreadsheetml/2020/threadedcomments2" uri="{F7C98A9C-CBB3-438F-8F68-D28B6AF4A901}">
        <xltc2:checksum>1244044266</xltc2:checksum>
        <xltc2:hyperlink startIndex="0" length="71" url="https://ars.els-cdn.com/content/image/1-s2.0-S0196890424003674-mmc1.pdf"/>
      </x:ext>
    </extLst>
  </threadedComment>
  <threadedComment ref="H58" dT="2025-12-05T10:58:01.40" personId="{E5CFC1CE-D7A6-48D9-8448-B4EE9C5079C2}" id="{F4DC88A2-76E0-49EC-818B-705DB2795CBB}">
    <text xml:space="preserve">https://www.gov.uk/government/publications/beis-electricity-generation-costs-2020
„Electricity generation costs: key data assumptions for generation technologies„
Based on that, it was estimated that the SCGT investment costs should be ⅔ of the CCGT without CCS investment costs.
In 
https://ars.els-cdn.com/content/image/1-s2.0-S0196890424003674-mmc1.pdf
Table 4S, SCGT investment costs are higher than CCGT investment costs which seemed potentially wrong.
</text>
    <extLst>
      <x:ext xmlns:xltc2="http://schemas.microsoft.com/office/spreadsheetml/2020/threadedcomments2" uri="{F7C98A9C-CBB3-438F-8F68-D28B6AF4A901}">
        <xltc2:checksum>486314676</xltc2:checksum>
        <xltc2:hyperlink startIndex="0" length="81" url="https://www.gov.uk/government/publications/beis-electricity-generation-costs-2020"/>
      </x:ext>
    </extLst>
  </threadedComment>
  <threadedComment ref="L58" dT="2025-12-05T10:47:26.07" personId="{E5CFC1CE-D7A6-48D9-8448-B4EE9C5079C2}" id="{4BF33756-FD24-42A9-BD08-9327AE6FD860}">
    <text xml:space="preserve">https://ars.els-cdn.com/content/image/1-s2.0-S0196890424003674-mmc1.pdf
Table 4S
</text>
    <extLst>
      <x:ext xmlns:xltc2="http://schemas.microsoft.com/office/spreadsheetml/2020/threadedcomments2" uri="{F7C98A9C-CBB3-438F-8F68-D28B6AF4A901}">
        <xltc2:checksum>1733188572</xltc2:checksum>
        <xltc2:hyperlink startIndex="0" length="71" url="https://ars.els-cdn.com/content/image/1-s2.0-S0196890424003674-mmc1.pdf"/>
      </x:ext>
    </extLst>
  </threadedComment>
  <threadedComment ref="M58" dT="2025-12-04T16:30:35.63" personId="{E5CFC1CE-D7A6-48D9-8448-B4EE9C5079C2}" id="{B9AD38DF-1AA6-4AB0-926B-CF368BC396CE}">
    <text xml:space="preserve">https://ars.els-cdn.com/content/image/1-s2.0-S0196890424003674-mmc1.pdf
Table 4S
</text>
    <extLst>
      <x:ext xmlns:xltc2="http://schemas.microsoft.com/office/spreadsheetml/2020/threadedcomments2" uri="{F7C98A9C-CBB3-438F-8F68-D28B6AF4A901}">
        <xltc2:checksum>1733188572</xltc2:checksum>
        <xltc2:hyperlink startIndex="0" length="71" url="https://ars.els-cdn.com/content/image/1-s2.0-S0196890424003674-mmc1.pdf"/>
      </x:ext>
    </extLst>
  </threadedComment>
  <threadedComment ref="C59" dT="2025-12-05T10:49:28.93" personId="{E5CFC1CE-D7A6-48D9-8448-B4EE9C5079C2}" id="{C8F38497-BFAF-4BF5-A5BE-2780BA0B65BE}">
    <text xml:space="preserve">https://ars.els-cdn.com/content/image/1-s2.0-S0196890424003674-mmc1.pdf
Table 4S
</text>
    <extLst>
      <x:ext xmlns:xltc2="http://schemas.microsoft.com/office/spreadsheetml/2020/threadedcomments2" uri="{F7C98A9C-CBB3-438F-8F68-D28B6AF4A901}">
        <xltc2:checksum>1733188572</xltc2:checksum>
        <xltc2:hyperlink startIndex="0" length="71" url="https://ars.els-cdn.com/content/image/1-s2.0-S0196890424003674-mmc1.pdf"/>
      </x:ext>
    </extLst>
  </threadedComment>
  <threadedComment ref="G59" dT="2025-12-01T16:24:31.02" personId="{E5CFC1CE-D7A6-48D9-8448-B4EE9C5079C2}" id="{C4CD51F9-5478-40A1-80A4-A2579CAEC430}">
    <text xml:space="preserve">https://ars.els-cdn.com/content/image/1-s2.0-S0196890424003674-mmc1.pdf
Table 14S
55.0 * 3.6
</text>
    <extLst>
      <x:ext xmlns:xltc2="http://schemas.microsoft.com/office/spreadsheetml/2020/threadedcomments2" uri="{F7C98A9C-CBB3-438F-8F68-D28B6AF4A901}">
        <xltc2:checksum>2613171714</xltc2:checksum>
        <xltc2:hyperlink startIndex="0" length="71" url="https://ars.els-cdn.com/content/image/1-s2.0-S0196890424003674-mmc1.pdf"/>
      </x:ext>
    </extLst>
  </threadedComment>
  <threadedComment ref="H59" dT="2025-12-05T10:58:01.40" personId="{E5CFC1CE-D7A6-48D9-8448-B4EE9C5079C2}" id="{AF974650-2A47-4700-B56B-2B5452A31121}">
    <text xml:space="preserve">https://www.gov.uk/government/publications/beis-electricity-generation-costs-2020
„Electricity generation costs: key data assumptions for generation technologies„
Based on that, it was estimated that the SCGT investment costs should be ⅔ of the CCGT without CCS investment costs.
In 
https://ars.els-cdn.com/content/image/1-s2.0-S0196890424003674-mmc1.pdf
Table 4S, SCGT investment costs are higher than CCGT investment costs which seemed potentially wrong.
</text>
    <extLst>
      <x:ext xmlns:xltc2="http://schemas.microsoft.com/office/spreadsheetml/2020/threadedcomments2" uri="{F7C98A9C-CBB3-438F-8F68-D28B6AF4A901}">
        <xltc2:checksum>486314676</xltc2:checksum>
        <xltc2:hyperlink startIndex="0" length="81" url="https://www.gov.uk/government/publications/beis-electricity-generation-costs-2020"/>
      </x:ext>
    </extLst>
  </threadedComment>
  <threadedComment ref="L59" dT="2025-12-05T10:47:26.07" personId="{E5CFC1CE-D7A6-48D9-8448-B4EE9C5079C2}" id="{C7259605-5B30-4476-BE36-19C524CBFC9F}">
    <text xml:space="preserve">https://ars.els-cdn.com/content/image/1-s2.0-S0196890424003674-mmc1.pdf
Table 4S
</text>
    <extLst>
      <x:ext xmlns:xltc2="http://schemas.microsoft.com/office/spreadsheetml/2020/threadedcomments2" uri="{F7C98A9C-CBB3-438F-8F68-D28B6AF4A901}">
        <xltc2:checksum>1733188572</xltc2:checksum>
        <xltc2:hyperlink startIndex="0" length="71" url="https://ars.els-cdn.com/content/image/1-s2.0-S0196890424003674-mmc1.pdf"/>
      </x:ext>
    </extLst>
  </threadedComment>
  <threadedComment ref="M59" dT="2025-12-04T16:30:39.53" personId="{E5CFC1CE-D7A6-48D9-8448-B4EE9C5079C2}" id="{8B1E0DB7-4C65-4BED-A1E6-BA9301AF9137}">
    <text xml:space="preserve">https://ars.els-cdn.com/content/image/1-s2.0-S0196890424003674-mmc1.pdf
Table 4S
</text>
    <extLst>
      <x:ext xmlns:xltc2="http://schemas.microsoft.com/office/spreadsheetml/2020/threadedcomments2" uri="{F7C98A9C-CBB3-438F-8F68-D28B6AF4A901}">
        <xltc2:checksum>1733188572</xltc2:checksum>
        <xltc2:hyperlink startIndex="0" length="71" url="https://ars.els-cdn.com/content/image/1-s2.0-S0196890424003674-mmc1.pdf"/>
      </x:ext>
    </extLst>
  </threadedComment>
  <threadedComment ref="C60" dT="2025-12-03T11:39:09.86" personId="{E5CFC1CE-D7A6-48D9-8448-B4EE9C5079C2}" id="{A5EE8FD0-E6DE-4615-904D-089000778CEF}">
    <text xml:space="preserve">Own assumption based on discussions with HSLU and
https://doi.org/10.1115/1.4069122
</text>
    <extLst>
      <x:ext xmlns:xltc2="http://schemas.microsoft.com/office/spreadsheetml/2020/threadedcomments2" uri="{F7C98A9C-CBB3-438F-8F68-D28B6AF4A901}">
        <xltc2:checksum>2903488123</xltc2:checksum>
        <xltc2:hyperlink startIndex="51" length="33" url="https://doi.org/10.1115/1.4069122"/>
      </x:ext>
    </extLst>
  </threadedComment>
  <threadedComment ref="D60" dT="2025-12-03T11:39:16.84" personId="{E5CFC1CE-D7A6-48D9-8448-B4EE9C5079C2}" id="{E61EAA45-81CE-4D0A-86BB-EBA33D19BF05}">
    <text xml:space="preserve">Own assumption based on discussions with HSLU and
https://doi.org/10.1115/1.4069122
</text>
    <extLst>
      <x:ext xmlns:xltc2="http://schemas.microsoft.com/office/spreadsheetml/2020/threadedcomments2" uri="{F7C98A9C-CBB3-438F-8F68-D28B6AF4A901}">
        <xltc2:checksum>2903488123</xltc2:checksum>
        <xltc2:hyperlink startIndex="51" length="33" url="https://doi.org/10.1115/1.4069122"/>
      </x:ext>
    </extLst>
  </threadedComment>
  <threadedComment ref="H60" dT="2025-12-03T11:37:51.06" personId="{E5CFC1CE-D7A6-48D9-8448-B4EE9C5079C2}" id="{82054389-2F96-49D8-A29F-B04B22B1E815}">
    <text xml:space="preserve">Own assumption based on discussions with HSLU and
https://doi.org/10.1115/1.4069122
</text>
    <extLst>
      <x:ext xmlns:xltc2="http://schemas.microsoft.com/office/spreadsheetml/2020/threadedcomments2" uri="{F7C98A9C-CBB3-438F-8F68-D28B6AF4A901}">
        <xltc2:checksum>2903488123</xltc2:checksum>
        <xltc2:hyperlink startIndex="51" length="33" url="https://doi.org/10.1115/1.4069122"/>
      </x:ext>
    </extLst>
  </threadedComment>
  <threadedComment ref="J60" dT="2025-12-02T14:33:47.25" personId="{E5CFC1CE-D7A6-48D9-8448-B4EE9C5079C2}" id="{147FE4D3-ECF0-4DFE-9517-34FA260857BD}">
    <text>Own assumption based on discussions with HSLU and
https://doi.org/10.1115/1.4069122</text>
    <extLst>
      <x:ext xmlns:xltc2="http://schemas.microsoft.com/office/spreadsheetml/2020/threadedcomments2" uri="{F7C98A9C-CBB3-438F-8F68-D28B6AF4A901}">
        <xltc2:checksum>406695172</xltc2:checksum>
        <xltc2:hyperlink startIndex="51" length="33" url="https://doi.org/10.1115/1.4069122"/>
      </x:ext>
    </extLst>
  </threadedComment>
  <threadedComment ref="M60" dT="2025-12-03T11:38:08.19" personId="{E5CFC1CE-D7A6-48D9-8448-B4EE9C5079C2}" id="{5A766BA0-83F6-46E3-91BF-FFBEF6291018}">
    <text xml:space="preserve">Own assumption based on discussions with HSLU and
https://doi.org/10.1115/1.4069122
</text>
    <extLst>
      <x:ext xmlns:xltc2="http://schemas.microsoft.com/office/spreadsheetml/2020/threadedcomments2" uri="{F7C98A9C-CBB3-438F-8F68-D28B6AF4A901}">
        <xltc2:checksum>2903488123</xltc2:checksum>
        <xltc2:hyperlink startIndex="51" length="33" url="https://doi.org/10.1115/1.4069122"/>
      </x:ext>
    </extLst>
  </threadedComment>
  <threadedComment ref="C61" dT="2025-12-03T11:39:13.33" personId="{E5CFC1CE-D7A6-48D9-8448-B4EE9C5079C2}" id="{D822313A-E88B-4536-80F3-79EEA72810EC}">
    <text xml:space="preserve">Own assumption based on discussions with HSLU and
https://doi.org/10.1115/1.4069122
</text>
    <extLst>
      <x:ext xmlns:xltc2="http://schemas.microsoft.com/office/spreadsheetml/2020/threadedcomments2" uri="{F7C98A9C-CBB3-438F-8F68-D28B6AF4A901}">
        <xltc2:checksum>2903488123</xltc2:checksum>
        <xltc2:hyperlink startIndex="51" length="33" url="https://doi.org/10.1115/1.4069122"/>
      </x:ext>
    </extLst>
  </threadedComment>
  <threadedComment ref="D61" dT="2025-12-03T11:39:19.66" personId="{E5CFC1CE-D7A6-48D9-8448-B4EE9C5079C2}" id="{0D278FAD-6810-4133-9ECC-A7DC71CE4158}">
    <text xml:space="preserve">Own assumption based on discussions with HSLU and
https://doi.org/10.1115/1.4069122
</text>
    <extLst>
      <x:ext xmlns:xltc2="http://schemas.microsoft.com/office/spreadsheetml/2020/threadedcomments2" uri="{F7C98A9C-CBB3-438F-8F68-D28B6AF4A901}">
        <xltc2:checksum>2903488123</xltc2:checksum>
        <xltc2:hyperlink startIndex="51" length="33" url="https://doi.org/10.1115/1.4069122"/>
      </x:ext>
    </extLst>
  </threadedComment>
  <threadedComment ref="H61" dT="2025-12-03T11:37:54.59" personId="{E5CFC1CE-D7A6-48D9-8448-B4EE9C5079C2}" id="{C1C48313-8D69-4EA4-8C8F-176E0AB6CE5A}">
    <text xml:space="preserve">Own assumption based on discussions with HSLU and
https://doi.org/10.1115/1.4069122
</text>
    <extLst>
      <x:ext xmlns:xltc2="http://schemas.microsoft.com/office/spreadsheetml/2020/threadedcomments2" uri="{F7C98A9C-CBB3-438F-8F68-D28B6AF4A901}">
        <xltc2:checksum>2903488123</xltc2:checksum>
        <xltc2:hyperlink startIndex="51" length="33" url="https://doi.org/10.1115/1.4069122"/>
      </x:ext>
    </extLst>
  </threadedComment>
  <threadedComment ref="J61" dT="2025-12-02T14:34:06.29" personId="{E5CFC1CE-D7A6-48D9-8448-B4EE9C5079C2}" id="{F1070CFF-F0CA-4877-AFBC-501694523EEC}">
    <text>Own assumption based on discussions with HSLU and
https://doi.org/10.1115/1.4069122</text>
    <extLst>
      <x:ext xmlns:xltc2="http://schemas.microsoft.com/office/spreadsheetml/2020/threadedcomments2" uri="{F7C98A9C-CBB3-438F-8F68-D28B6AF4A901}">
        <xltc2:checksum>406695172</xltc2:checksum>
        <xltc2:hyperlink startIndex="51" length="33" url="https://doi.org/10.1115/1.4069122"/>
      </x:ext>
    </extLst>
  </threadedComment>
  <threadedComment ref="M61" dT="2025-12-03T11:38:11.53" personId="{E5CFC1CE-D7A6-48D9-8448-B4EE9C5079C2}" id="{67D64D10-D865-4AF3-850E-4524C6A5ED03}">
    <text xml:space="preserve">Own assumption based on discussions with HSLU and
https://doi.org/10.1115/1.4069122
</text>
    <extLst>
      <x:ext xmlns:xltc2="http://schemas.microsoft.com/office/spreadsheetml/2020/threadedcomments2" uri="{F7C98A9C-CBB3-438F-8F68-D28B6AF4A901}">
        <xltc2:checksum>2903488123</xltc2:checksum>
        <xltc2:hyperlink startIndex="51" length="33" url="https://doi.org/10.1115/1.4069122"/>
      </x:ext>
    </extLst>
  </threadedComment>
  <threadedComment ref="C62" dT="2025-12-04T14:05:27.14" personId="{E5CFC1CE-D7A6-48D9-8448-B4EE9C5079C2}" id="{86DC06B2-31F4-4629-A5AD-D51AF744102B}">
    <text xml:space="preserve">https://ars.els-cdn.com/content/image/1-s2.0-S0196890424003674-mmc1.pdf
Table 5S
</text>
    <extLst>
      <x:ext xmlns:xltc2="http://schemas.microsoft.com/office/spreadsheetml/2020/threadedcomments2" uri="{F7C98A9C-CBB3-438F-8F68-D28B6AF4A901}">
        <xltc2:checksum>1728712412</xltc2:checksum>
        <xltc2:hyperlink startIndex="0" length="71" url="https://ars.els-cdn.com/content/image/1-s2.0-S0196890424003674-mmc1.pdf"/>
      </x:ext>
    </extLst>
  </threadedComment>
  <threadedComment ref="D62" dT="2025-12-04T14:05:27.14" personId="{E5CFC1CE-D7A6-48D9-8448-B4EE9C5079C2}" id="{ABF680EF-3634-4220-9D0B-ED0235DC0110}">
    <text xml:space="preserve">https://ars.els-cdn.com/content/image/1-s2.0-S0196890424003674-mmc1.pdf
Table 5S
</text>
    <extLst>
      <x:ext xmlns:xltc2="http://schemas.microsoft.com/office/spreadsheetml/2020/threadedcomments2" uri="{F7C98A9C-CBB3-438F-8F68-D28B6AF4A901}">
        <xltc2:checksum>1728712412</xltc2:checksum>
        <xltc2:hyperlink startIndex="0" length="71" url="https://ars.els-cdn.com/content/image/1-s2.0-S0196890424003674-mmc1.pdf"/>
      </x:ext>
    </extLst>
  </threadedComment>
  <threadedComment ref="C63" dT="2025-12-04T14:05:27.14" personId="{E5CFC1CE-D7A6-48D9-8448-B4EE9C5079C2}" id="{9157755E-C2E5-461A-8766-EDC0CFD3CD29}">
    <text xml:space="preserve">https://ars.els-cdn.com/content/image/1-s2.0-S0196890424003674-mmc1.pdf
Table 5S
</text>
    <extLst>
      <x:ext xmlns:xltc2="http://schemas.microsoft.com/office/spreadsheetml/2020/threadedcomments2" uri="{F7C98A9C-CBB3-438F-8F68-D28B6AF4A901}">
        <xltc2:checksum>1728712412</xltc2:checksum>
        <xltc2:hyperlink startIndex="0" length="71" url="https://ars.els-cdn.com/content/image/1-s2.0-S0196890424003674-mmc1.pdf"/>
      </x:ext>
    </extLst>
  </threadedComment>
  <threadedComment ref="D63" dT="2025-12-04T14:05:27.14" personId="{E5CFC1CE-D7A6-48D9-8448-B4EE9C5079C2}" id="{9375D386-88BA-4829-B090-C91521A866CE}">
    <text xml:space="preserve">https://ars.els-cdn.com/content/image/1-s2.0-S0196890424003674-mmc1.pdf
Table 5S
</text>
    <extLst>
      <x:ext xmlns:xltc2="http://schemas.microsoft.com/office/spreadsheetml/2020/threadedcomments2" uri="{F7C98A9C-CBB3-438F-8F68-D28B6AF4A901}">
        <xltc2:checksum>1728712412</xltc2:checksum>
        <xltc2:hyperlink startIndex="0" length="71" url="https://ars.els-cdn.com/content/image/1-s2.0-S0196890424003674-mmc1.pdf"/>
      </x:ext>
    </extLst>
  </threadedComment>
  <threadedComment ref="C64" dT="2025-12-08T12:41:13.68" personId="{E5CFC1CE-D7A6-48D9-8448-B4EE9C5079C2}" id="{4FB1AA71-120E-4E72-A655-7CFC22128A11}">
    <text>The feed-in of wind works according to weather year dependant feed-in profiles. Therefore, the efficiency here can just be set to 1.</text>
  </threadedComment>
  <threadedComment ref="F64" dT="2025-12-02T14:18:39.50" personId="{E5CFC1CE-D7A6-48D9-8448-B4EE9C5079C2}" id="{C533CA02-5666-42FA-9D7B-2DCB801CACB1}">
    <text>https://www.bfe.admin.ch/bfe/en/home/policy/energy-perspectives-2050-plus.html/
Table 60</text>
    <extLst>
      <x:ext xmlns:xltc2="http://schemas.microsoft.com/office/spreadsheetml/2020/threadedcomments2" uri="{F7C98A9C-CBB3-438F-8F68-D28B6AF4A901}">
        <xltc2:checksum>954609962</xltc2:checksum>
        <xltc2:hyperlink startIndex="0" length="79" url="https://www.bfe.admin.ch/bfe/en/home/policy/energy-perspectives-2050-plus.html/"/>
      </x:ext>
    </extLst>
  </threadedComment>
  <threadedComment ref="H64" dT="2025-12-08T13:23:47.79" personId="{E5CFC1CE-D7A6-48D9-8448-B4EE9C5079C2}" id="{ACA27B43-EFB1-4FD8-950B-437D54411EB3}">
    <text>The investment costs for 2050 are taken from NEXUS-E, which only provides values for this year. The investment costs for 2035 are calculated on the basis of the 2050 values and adjusted upwards. This adjustment is made using a scaling factor derived from the learning curve assumed in EP2050+ for the period between 2035 and 2050.</text>
  </threadedComment>
  <threadedComment ref="M64" dT="2025-12-08T12:40:10.05" personId="{E5CFC1CE-D7A6-48D9-8448-B4EE9C5079C2}" id="{4E9BF36A-31A2-4E3D-AEB7-5FED5FFCA9B3}">
    <text>https://ars.els-cdn.com/content/image/1-s2.0-S0196890424003674-mmc1.pdf
Table 3S</text>
    <extLst>
      <x:ext xmlns:xltc2="http://schemas.microsoft.com/office/spreadsheetml/2020/threadedcomments2" uri="{F7C98A9C-CBB3-438F-8F68-D28B6AF4A901}">
        <xltc2:checksum>3668207333</xltc2:checksum>
        <xltc2:hyperlink startIndex="0" length="71" url="https://ars.els-cdn.com/content/image/1-s2.0-S0196890424003674-mmc1.pdf"/>
      </x:ext>
    </extLst>
  </threadedComment>
  <threadedComment ref="C65" dT="2025-12-08T12:41:16.54" personId="{E5CFC1CE-D7A6-48D9-8448-B4EE9C5079C2}" id="{CC358C68-8A92-448D-BEB5-092D2D8C483F}">
    <text xml:space="preserve">The feed-in of wind works according to weather year dependant feed-in profiles. Therefore, the efficiency here can just be set to 1.
</text>
  </threadedComment>
  <threadedComment ref="F65" dT="2025-12-02T14:18:48.93" personId="{E5CFC1CE-D7A6-48D9-8448-B4EE9C5079C2}" id="{85CD0906-D8AC-4F8D-891E-99E7DEBC5632}">
    <text>https://www.bfe.admin.ch/bfe/en/home/policy/energy-perspectives-2050-plus.html/
Table 60</text>
    <extLst>
      <x:ext xmlns:xltc2="http://schemas.microsoft.com/office/spreadsheetml/2020/threadedcomments2" uri="{F7C98A9C-CBB3-438F-8F68-D28B6AF4A901}">
        <xltc2:checksum>954609962</xltc2:checksum>
        <xltc2:hyperlink startIndex="0" length="79" url="https://www.bfe.admin.ch/bfe/en/home/policy/energy-perspectives-2050-plus.html/"/>
      </x:ext>
    </extLst>
  </threadedComment>
  <threadedComment ref="H65" dT="2025-12-08T13:23:51.54" personId="{E5CFC1CE-D7A6-48D9-8448-B4EE9C5079C2}" id="{BACCF0B2-08BA-47E9-A713-6E1EA5450B52}">
    <text>The investment costs for 2050 are taken from NEXUS-E, which only provides values for this year. The investment costs for 2035 are calculated on the basis of the 2050 values and adjusted upwards. This adjustment is made using a scaling factor derived from the learning curve assumed in EP2050+ for the period between 2035 and 2050.</text>
  </threadedComment>
  <threadedComment ref="M65" dT="2025-12-08T12:40:10.05" personId="{E5CFC1CE-D7A6-48D9-8448-B4EE9C5079C2}" id="{1E727657-2AC6-476B-BA78-D26D0D2D83CA}">
    <text>https://ars.els-cdn.com/content/image/1-s2.0-S0196890424003674-mmc1.pdf
Table 3S</text>
    <extLst>
      <x:ext xmlns:xltc2="http://schemas.microsoft.com/office/spreadsheetml/2020/threadedcomments2" uri="{F7C98A9C-CBB3-438F-8F68-D28B6AF4A901}">
        <xltc2:checksum>3668207333</xltc2:checksum>
        <xltc2:hyperlink startIndex="0" length="71" url="https://ars.els-cdn.com/content/image/1-s2.0-S0196890424003674-mmc1.pdf"/>
      </x:ext>
    </extLst>
  </threadedComment>
  <threadedComment ref="C66" dT="2025-12-08T12:41:13.68" personId="{E5CFC1CE-D7A6-48D9-8448-B4EE9C5079C2}" id="{E5B5F6AE-DA0E-472D-9229-5174271631A7}">
    <text>The feed-in of wind works according to weather year dependant feed-in profiles. Therefore, the efficiency here can just be set to 1.</text>
  </threadedComment>
  <threadedComment ref="C67" dT="2025-12-08T12:41:16.54" personId="{E5CFC1CE-D7A6-48D9-8448-B4EE9C5079C2}" id="{A0CAD935-777C-4917-A984-6394E674CF70}">
    <text xml:space="preserve">The feed-in of wind works according to weather year dependant feed-in profiles. Therefore, the efficiency here can just be set to 1.
</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F4FCF6-342E-45E9-8C09-CFB1131A8575}">
  <dimension ref="A1:M67"/>
  <sheetViews>
    <sheetView tabSelected="1" workbookViewId="0">
      <pane ySplit="3" topLeftCell="A4" activePane="bottomLeft" state="frozen"/>
      <selection pane="bottomLeft" activeCell="O18" sqref="O18"/>
    </sheetView>
  </sheetViews>
  <sheetFormatPr baseColWidth="10" defaultRowHeight="12.75" x14ac:dyDescent="0.2"/>
  <cols>
    <col min="1" max="1" width="24" bestFit="1" customWidth="1"/>
    <col min="2" max="2" width="13.7109375" customWidth="1"/>
    <col min="3" max="3" width="15.28515625" bestFit="1" customWidth="1"/>
    <col min="4" max="4" width="20" bestFit="1" customWidth="1"/>
    <col min="5" max="5" width="17" customWidth="1"/>
    <col min="7" max="7" width="24.85546875" customWidth="1"/>
    <col min="8" max="8" width="21.5703125" bestFit="1" customWidth="1"/>
    <col min="10" max="10" width="29.28515625" bestFit="1" customWidth="1"/>
    <col min="12" max="12" width="16.5703125" bestFit="1" customWidth="1"/>
    <col min="13" max="13" width="11.42578125" customWidth="1"/>
  </cols>
  <sheetData>
    <row r="1" spans="1:13" x14ac:dyDescent="0.2">
      <c r="A1" s="20" t="s">
        <v>56</v>
      </c>
      <c r="B1" s="20"/>
      <c r="C1" s="20"/>
      <c r="D1" s="20"/>
      <c r="E1" s="20"/>
      <c r="F1" s="20"/>
      <c r="G1" s="20"/>
      <c r="H1" s="20"/>
      <c r="I1" s="20"/>
      <c r="J1" s="20"/>
      <c r="K1" s="20"/>
      <c r="L1" s="20"/>
      <c r="M1" s="20"/>
    </row>
    <row r="2" spans="1:13" x14ac:dyDescent="0.2">
      <c r="A2" s="3" t="s">
        <v>49</v>
      </c>
      <c r="B2" s="4" t="s">
        <v>50</v>
      </c>
      <c r="C2" s="6" t="s">
        <v>51</v>
      </c>
      <c r="D2" s="12" t="s">
        <v>54</v>
      </c>
      <c r="E2" s="9" t="s">
        <v>52</v>
      </c>
      <c r="F2" s="17" t="s">
        <v>57</v>
      </c>
      <c r="G2" s="11"/>
      <c r="H2" s="11"/>
      <c r="I2" s="11"/>
      <c r="J2" s="11"/>
      <c r="K2" s="11"/>
      <c r="L2" s="11"/>
      <c r="M2" s="11"/>
    </row>
    <row r="3" spans="1:13" x14ac:dyDescent="0.2">
      <c r="A3" t="s">
        <v>0</v>
      </c>
      <c r="B3" t="s">
        <v>1</v>
      </c>
      <c r="C3" t="s">
        <v>70</v>
      </c>
      <c r="D3" t="s">
        <v>58</v>
      </c>
      <c r="E3" t="s">
        <v>59</v>
      </c>
      <c r="F3" t="s">
        <v>60</v>
      </c>
      <c r="G3" t="s">
        <v>61</v>
      </c>
      <c r="H3" t="s">
        <v>62</v>
      </c>
      <c r="I3" t="s">
        <v>63</v>
      </c>
      <c r="J3" t="s">
        <v>64</v>
      </c>
      <c r="K3" t="s">
        <v>67</v>
      </c>
      <c r="L3" t="s">
        <v>65</v>
      </c>
      <c r="M3" t="s">
        <v>68</v>
      </c>
    </row>
    <row r="4" spans="1:13" x14ac:dyDescent="0.2">
      <c r="A4" t="s">
        <v>20</v>
      </c>
      <c r="B4">
        <v>2035</v>
      </c>
      <c r="C4" s="7">
        <f>SQRT(0.86)</f>
        <v>0.92736184954957035</v>
      </c>
      <c r="D4" s="7">
        <f>SQRT(0.86)</f>
        <v>0.92736184954957035</v>
      </c>
      <c r="E4" s="1"/>
      <c r="F4" s="7">
        <v>126</v>
      </c>
      <c r="G4" s="1"/>
      <c r="H4" s="10">
        <v>43606</v>
      </c>
      <c r="I4" s="2"/>
      <c r="J4" s="10">
        <v>51581</v>
      </c>
      <c r="K4" s="1"/>
      <c r="L4" s="2">
        <v>0.1</v>
      </c>
      <c r="M4" s="7">
        <v>10</v>
      </c>
    </row>
    <row r="5" spans="1:13" x14ac:dyDescent="0.2">
      <c r="A5" t="s">
        <v>20</v>
      </c>
      <c r="B5">
        <v>2050</v>
      </c>
      <c r="C5" s="7">
        <f>SQRT(0.86)</f>
        <v>0.92736184954957035</v>
      </c>
      <c r="D5" s="7">
        <f>SQRT(0.86)</f>
        <v>0.92736184954957035</v>
      </c>
      <c r="E5" s="1"/>
      <c r="F5" s="7">
        <v>126</v>
      </c>
      <c r="G5" s="1"/>
      <c r="H5" s="10">
        <v>37378</v>
      </c>
      <c r="I5" s="2"/>
      <c r="J5" s="10">
        <v>44212</v>
      </c>
      <c r="K5" s="1"/>
      <c r="L5" s="2">
        <v>0.1</v>
      </c>
      <c r="M5" s="7">
        <v>10</v>
      </c>
    </row>
    <row r="6" spans="1:13" x14ac:dyDescent="0.2">
      <c r="A6" t="s">
        <v>21</v>
      </c>
      <c r="B6">
        <v>2035</v>
      </c>
      <c r="C6" s="10">
        <v>0.45</v>
      </c>
      <c r="D6" s="1"/>
      <c r="E6" s="2">
        <v>0</v>
      </c>
      <c r="F6" s="1"/>
      <c r="G6" s="5">
        <v>37</v>
      </c>
      <c r="H6" s="1"/>
      <c r="I6" s="1"/>
      <c r="J6" s="1"/>
      <c r="K6" s="1"/>
      <c r="L6" s="1"/>
      <c r="M6" s="1"/>
    </row>
    <row r="7" spans="1:13" x14ac:dyDescent="0.2">
      <c r="A7" t="s">
        <v>21</v>
      </c>
      <c r="B7">
        <v>2050</v>
      </c>
      <c r="C7" s="10">
        <v>0.45</v>
      </c>
      <c r="D7" s="1"/>
      <c r="E7" s="2">
        <v>0</v>
      </c>
      <c r="F7" s="1"/>
      <c r="G7" s="5">
        <v>44</v>
      </c>
      <c r="H7" s="1"/>
      <c r="I7" s="1"/>
      <c r="J7" s="1"/>
      <c r="K7" s="1"/>
      <c r="L7" s="1"/>
      <c r="M7" s="1"/>
    </row>
    <row r="8" spans="1:13" x14ac:dyDescent="0.2">
      <c r="A8" t="s">
        <v>12</v>
      </c>
      <c r="B8">
        <v>2035</v>
      </c>
      <c r="C8" s="7">
        <v>0.47</v>
      </c>
      <c r="D8" s="1"/>
      <c r="E8" s="18">
        <v>2.01E-2</v>
      </c>
      <c r="F8" s="7">
        <v>24.19</v>
      </c>
      <c r="G8" s="5">
        <v>26</v>
      </c>
      <c r="H8" s="7">
        <v>1410360</v>
      </c>
      <c r="I8" s="1"/>
      <c r="J8" s="1"/>
      <c r="K8" s="1"/>
      <c r="L8" s="7">
        <v>5.42</v>
      </c>
      <c r="M8" s="7">
        <v>25</v>
      </c>
    </row>
    <row r="9" spans="1:13" x14ac:dyDescent="0.2">
      <c r="A9" t="s">
        <v>12</v>
      </c>
      <c r="B9">
        <v>2050</v>
      </c>
      <c r="C9" s="7">
        <v>0.47</v>
      </c>
      <c r="D9" s="1"/>
      <c r="E9" s="18">
        <v>2.01E-2</v>
      </c>
      <c r="F9" s="7">
        <v>24.19</v>
      </c>
      <c r="G9" s="5">
        <v>18</v>
      </c>
      <c r="H9" s="7">
        <v>1410360</v>
      </c>
      <c r="I9" s="1"/>
      <c r="J9" s="1"/>
      <c r="K9" s="1"/>
      <c r="L9" s="7">
        <v>5.42</v>
      </c>
      <c r="M9" s="7">
        <v>25</v>
      </c>
    </row>
    <row r="10" spans="1:13" x14ac:dyDescent="0.2">
      <c r="A10" t="s">
        <v>14</v>
      </c>
      <c r="B10">
        <v>2035</v>
      </c>
      <c r="C10" s="7">
        <v>0.53</v>
      </c>
      <c r="D10" s="1"/>
      <c r="E10" s="14">
        <v>0</v>
      </c>
      <c r="F10" s="7">
        <v>14.21</v>
      </c>
      <c r="G10" s="7">
        <f>55*3.6</f>
        <v>198</v>
      </c>
      <c r="H10" s="7">
        <v>650940</v>
      </c>
      <c r="I10" s="1"/>
      <c r="J10" s="1"/>
      <c r="K10" s="1"/>
      <c r="L10" s="7">
        <v>4.34</v>
      </c>
      <c r="M10" s="7">
        <v>25</v>
      </c>
    </row>
    <row r="11" spans="1:13" x14ac:dyDescent="0.2">
      <c r="A11" t="s">
        <v>14</v>
      </c>
      <c r="B11">
        <v>2050</v>
      </c>
      <c r="C11" s="7">
        <v>0.53</v>
      </c>
      <c r="D11" s="1"/>
      <c r="E11" s="14">
        <v>0</v>
      </c>
      <c r="F11" s="7">
        <v>14.21</v>
      </c>
      <c r="G11" s="7">
        <f>55*3.6</f>
        <v>198</v>
      </c>
      <c r="H11" s="7">
        <v>650940</v>
      </c>
      <c r="I11" s="1"/>
      <c r="J11" s="1"/>
      <c r="K11" s="1"/>
      <c r="L11" s="7">
        <v>4.34</v>
      </c>
      <c r="M11" s="7">
        <v>25</v>
      </c>
    </row>
    <row r="12" spans="1:13" x14ac:dyDescent="0.2">
      <c r="A12" t="s">
        <v>22</v>
      </c>
      <c r="B12">
        <v>2035</v>
      </c>
      <c r="C12" s="1"/>
      <c r="D12" s="1"/>
      <c r="E12" s="1"/>
      <c r="F12" s="1"/>
      <c r="G12" s="5">
        <v>86.5</v>
      </c>
      <c r="H12" s="1"/>
      <c r="I12" s="1"/>
      <c r="J12" s="1"/>
      <c r="K12" s="1"/>
      <c r="L12" s="1"/>
      <c r="M12" s="1"/>
    </row>
    <row r="13" spans="1:13" x14ac:dyDescent="0.2">
      <c r="A13" t="s">
        <v>22</v>
      </c>
      <c r="B13">
        <v>2050</v>
      </c>
      <c r="C13" s="1"/>
      <c r="D13" s="1"/>
      <c r="E13" s="1"/>
      <c r="F13" s="1"/>
      <c r="G13" s="5">
        <v>397</v>
      </c>
      <c r="H13" s="1"/>
      <c r="I13" s="1"/>
      <c r="J13" s="1"/>
      <c r="K13" s="1"/>
      <c r="L13" s="1"/>
      <c r="M13" s="1"/>
    </row>
    <row r="14" spans="1:13" x14ac:dyDescent="0.2">
      <c r="A14" t="s">
        <v>23</v>
      </c>
      <c r="B14">
        <v>2035</v>
      </c>
      <c r="C14" s="2">
        <v>1</v>
      </c>
      <c r="D14" s="2">
        <v>1</v>
      </c>
      <c r="E14" s="1"/>
      <c r="F14" s="1"/>
      <c r="G14" s="1"/>
      <c r="H14" s="1"/>
      <c r="I14" s="1"/>
      <c r="J14" s="1"/>
      <c r="K14" s="1"/>
      <c r="L14" s="1"/>
      <c r="M14" s="1"/>
    </row>
    <row r="15" spans="1:13" x14ac:dyDescent="0.2">
      <c r="A15" t="s">
        <v>23</v>
      </c>
      <c r="B15">
        <v>2050</v>
      </c>
      <c r="C15" s="2">
        <v>1</v>
      </c>
      <c r="D15" s="2">
        <v>1</v>
      </c>
      <c r="E15" s="1"/>
      <c r="F15" s="1"/>
      <c r="G15" s="1"/>
      <c r="H15" s="1"/>
      <c r="I15" s="1"/>
      <c r="J15" s="1"/>
      <c r="K15" s="1"/>
      <c r="L15" s="1"/>
      <c r="M15" s="1"/>
    </row>
    <row r="16" spans="1:13" x14ac:dyDescent="0.2">
      <c r="A16" t="s">
        <v>24</v>
      </c>
      <c r="B16">
        <v>2035</v>
      </c>
      <c r="C16" s="2">
        <v>1</v>
      </c>
      <c r="D16" s="2"/>
      <c r="E16" s="2"/>
      <c r="F16" s="2"/>
      <c r="G16" s="2"/>
      <c r="H16" s="2"/>
      <c r="I16" s="2"/>
      <c r="J16" s="2"/>
      <c r="K16" s="2"/>
      <c r="L16" s="2">
        <v>0.1</v>
      </c>
      <c r="M16" s="1"/>
    </row>
    <row r="17" spans="1:13" x14ac:dyDescent="0.2">
      <c r="A17" t="s">
        <v>24</v>
      </c>
      <c r="B17">
        <v>2050</v>
      </c>
      <c r="C17" s="2">
        <v>1</v>
      </c>
      <c r="D17" s="2"/>
      <c r="E17" s="2"/>
      <c r="F17" s="2"/>
      <c r="G17" s="2"/>
      <c r="H17" s="2"/>
      <c r="I17" s="2"/>
      <c r="J17" s="2"/>
      <c r="K17" s="2"/>
      <c r="L17" s="2">
        <v>0.1</v>
      </c>
      <c r="M17" s="1"/>
    </row>
    <row r="18" spans="1:13" x14ac:dyDescent="0.2">
      <c r="A18" t="s">
        <v>25</v>
      </c>
      <c r="B18">
        <v>2035</v>
      </c>
      <c r="C18" s="2">
        <v>1</v>
      </c>
      <c r="D18" s="2"/>
      <c r="E18" s="2"/>
      <c r="F18" s="2"/>
      <c r="G18" s="2"/>
      <c r="H18" s="2"/>
      <c r="I18" s="2"/>
      <c r="J18" s="2"/>
      <c r="K18" s="2"/>
      <c r="L18" s="2">
        <v>0.1</v>
      </c>
      <c r="M18" s="1"/>
    </row>
    <row r="19" spans="1:13" x14ac:dyDescent="0.2">
      <c r="A19" t="s">
        <v>25</v>
      </c>
      <c r="B19">
        <v>2050</v>
      </c>
      <c r="C19" s="2">
        <v>1</v>
      </c>
      <c r="D19" s="2"/>
      <c r="E19" s="2"/>
      <c r="F19" s="2"/>
      <c r="G19" s="2"/>
      <c r="H19" s="2"/>
      <c r="I19" s="2"/>
      <c r="J19" s="2"/>
      <c r="K19" s="2"/>
      <c r="L19" s="2">
        <v>0.1</v>
      </c>
      <c r="M19" s="1"/>
    </row>
    <row r="20" spans="1:13" x14ac:dyDescent="0.2">
      <c r="A20" t="s">
        <v>26</v>
      </c>
      <c r="B20">
        <v>2035</v>
      </c>
      <c r="C20" s="2">
        <v>1</v>
      </c>
      <c r="D20" s="1"/>
      <c r="E20" s="1"/>
      <c r="F20" s="1"/>
      <c r="G20" s="1"/>
      <c r="H20" s="1"/>
      <c r="I20" s="1"/>
      <c r="J20" s="1"/>
      <c r="K20" s="1"/>
      <c r="L20" s="1"/>
      <c r="M20" s="1"/>
    </row>
    <row r="21" spans="1:13" x14ac:dyDescent="0.2">
      <c r="A21" t="s">
        <v>26</v>
      </c>
      <c r="B21">
        <v>2050</v>
      </c>
      <c r="C21" s="2">
        <v>1</v>
      </c>
      <c r="D21" s="1"/>
      <c r="E21" s="1"/>
      <c r="F21" s="1"/>
      <c r="G21" s="1"/>
      <c r="H21" s="1"/>
      <c r="I21" s="1"/>
      <c r="J21" s="1"/>
      <c r="K21" s="1"/>
      <c r="L21" s="1"/>
      <c r="M21" s="1"/>
    </row>
    <row r="22" spans="1:13" x14ac:dyDescent="0.2">
      <c r="A22" t="s">
        <v>27</v>
      </c>
      <c r="B22">
        <v>2035</v>
      </c>
      <c r="C22" s="2">
        <v>1</v>
      </c>
      <c r="D22" s="1"/>
      <c r="E22" s="1"/>
      <c r="F22" s="1"/>
      <c r="G22" s="1"/>
      <c r="H22" s="1"/>
      <c r="I22" s="1"/>
      <c r="J22" s="1"/>
      <c r="K22" s="1"/>
      <c r="L22" s="1"/>
      <c r="M22" s="1"/>
    </row>
    <row r="23" spans="1:13" x14ac:dyDescent="0.2">
      <c r="A23" t="s">
        <v>27</v>
      </c>
      <c r="B23">
        <v>2050</v>
      </c>
      <c r="C23" s="2">
        <v>1</v>
      </c>
      <c r="D23" s="1"/>
      <c r="E23" s="1"/>
      <c r="F23" s="1"/>
      <c r="G23" s="1"/>
      <c r="H23" s="1"/>
      <c r="I23" s="1"/>
      <c r="J23" s="1"/>
      <c r="K23" s="1"/>
      <c r="L23" s="1"/>
      <c r="M23" s="1"/>
    </row>
    <row r="24" spans="1:13" x14ac:dyDescent="0.2">
      <c r="A24" t="s">
        <v>13</v>
      </c>
      <c r="B24">
        <v>2035</v>
      </c>
      <c r="C24" s="1"/>
      <c r="D24" s="1"/>
      <c r="E24" s="1"/>
      <c r="F24" s="1"/>
      <c r="G24" s="1"/>
      <c r="H24" s="1"/>
      <c r="I24" s="1"/>
      <c r="J24" s="1"/>
      <c r="K24" s="10">
        <v>291</v>
      </c>
      <c r="L24" s="1"/>
      <c r="M24" s="1"/>
    </row>
    <row r="25" spans="1:13" x14ac:dyDescent="0.2">
      <c r="A25" t="s">
        <v>13</v>
      </c>
      <c r="B25">
        <v>2050</v>
      </c>
      <c r="C25" s="1"/>
      <c r="D25" s="1"/>
      <c r="E25" s="1"/>
      <c r="F25" s="1"/>
      <c r="G25" s="1"/>
      <c r="H25" s="1"/>
      <c r="I25" s="1"/>
      <c r="J25" s="1"/>
      <c r="K25" s="10">
        <v>291</v>
      </c>
      <c r="L25" s="1"/>
      <c r="M25" s="1"/>
    </row>
    <row r="26" spans="1:13" x14ac:dyDescent="0.2">
      <c r="A26" t="s">
        <v>28</v>
      </c>
      <c r="B26">
        <v>2035</v>
      </c>
      <c r="C26" s="2">
        <f>AVERAGE(C8,C10,C56,C58)</f>
        <v>0.42500000000000004</v>
      </c>
      <c r="D26" s="1"/>
      <c r="E26" s="18">
        <v>2.01E-2</v>
      </c>
      <c r="F26" s="1"/>
      <c r="G26" s="5">
        <v>26</v>
      </c>
      <c r="H26" s="1"/>
      <c r="I26" s="1"/>
      <c r="J26" s="1"/>
      <c r="K26" s="1"/>
      <c r="L26" s="2">
        <f>AVERAGE(L8,L10,L56,L58)</f>
        <v>5.15</v>
      </c>
      <c r="M26" s="1"/>
    </row>
    <row r="27" spans="1:13" x14ac:dyDescent="0.2">
      <c r="A27" t="s">
        <v>28</v>
      </c>
      <c r="B27">
        <v>2050</v>
      </c>
      <c r="C27" s="2">
        <f>AVERAGE(C9,C11,C57,C59)</f>
        <v>0.42500000000000004</v>
      </c>
      <c r="D27" s="1"/>
      <c r="E27" s="18">
        <v>2.01E-2</v>
      </c>
      <c r="F27" s="1"/>
      <c r="G27" s="5">
        <v>18</v>
      </c>
      <c r="H27" s="1"/>
      <c r="I27" s="1"/>
      <c r="J27" s="1"/>
      <c r="K27" s="1"/>
      <c r="L27" s="2">
        <f>AVERAGE(L9,L11,L57,L59)</f>
        <v>5.15</v>
      </c>
      <c r="M27" s="1"/>
    </row>
    <row r="28" spans="1:13" x14ac:dyDescent="0.2">
      <c r="A28" t="s">
        <v>29</v>
      </c>
      <c r="B28">
        <v>2035</v>
      </c>
      <c r="C28" s="7">
        <v>0.92700000000000005</v>
      </c>
      <c r="D28" s="1"/>
      <c r="E28" s="18">
        <v>0.20119999999999999</v>
      </c>
      <c r="F28" s="7">
        <v>9335</v>
      </c>
      <c r="G28" s="5">
        <v>26</v>
      </c>
      <c r="H28" s="7">
        <v>171780</v>
      </c>
      <c r="I28" s="1"/>
      <c r="J28" s="1"/>
      <c r="K28" s="1"/>
      <c r="L28" s="1"/>
      <c r="M28" s="7">
        <v>20</v>
      </c>
    </row>
    <row r="29" spans="1:13" x14ac:dyDescent="0.2">
      <c r="A29" t="s">
        <v>29</v>
      </c>
      <c r="B29">
        <v>2050</v>
      </c>
      <c r="C29" s="7">
        <v>0.92700000000000005</v>
      </c>
      <c r="D29" s="1"/>
      <c r="E29" s="18">
        <v>0.20119999999999999</v>
      </c>
      <c r="F29" s="7">
        <v>9335</v>
      </c>
      <c r="G29" s="5">
        <v>18</v>
      </c>
      <c r="H29" s="7">
        <v>171780</v>
      </c>
      <c r="I29" s="1"/>
      <c r="J29" s="1"/>
      <c r="K29" s="1"/>
      <c r="L29" s="1"/>
      <c r="M29" s="7">
        <v>20</v>
      </c>
    </row>
    <row r="30" spans="1:13" x14ac:dyDescent="0.2">
      <c r="A30" t="s">
        <v>30</v>
      </c>
      <c r="B30">
        <v>2035</v>
      </c>
      <c r="C30" s="8">
        <v>0.46</v>
      </c>
      <c r="D30" s="1"/>
      <c r="E30" s="18">
        <v>0.3337</v>
      </c>
      <c r="F30" s="1"/>
      <c r="G30" s="5">
        <v>9</v>
      </c>
      <c r="H30" s="1"/>
      <c r="I30" s="1"/>
      <c r="J30" s="1"/>
      <c r="K30" s="1"/>
      <c r="L30" s="8">
        <f>AVERAGE(16.7,16.7,16.7,5)</f>
        <v>13.774999999999999</v>
      </c>
      <c r="M30" s="1"/>
    </row>
    <row r="31" spans="1:13" x14ac:dyDescent="0.2">
      <c r="A31" t="s">
        <v>30</v>
      </c>
      <c r="B31">
        <v>2050</v>
      </c>
      <c r="C31" s="8">
        <v>0.46</v>
      </c>
      <c r="D31" s="1"/>
      <c r="E31" s="18">
        <v>0.3337</v>
      </c>
      <c r="F31" s="1"/>
      <c r="G31" s="5">
        <v>6</v>
      </c>
      <c r="H31" s="1"/>
      <c r="I31" s="1"/>
      <c r="J31" s="1"/>
      <c r="K31" s="1"/>
      <c r="L31" s="8">
        <f>AVERAGE(16.7,16.7,16.7,5)</f>
        <v>13.774999999999999</v>
      </c>
      <c r="M31" s="1"/>
    </row>
    <row r="32" spans="1:13" x14ac:dyDescent="0.2">
      <c r="A32" t="s">
        <v>31</v>
      </c>
      <c r="B32">
        <v>2035</v>
      </c>
      <c r="C32" s="2">
        <v>1</v>
      </c>
      <c r="D32" s="1"/>
      <c r="E32" s="1"/>
      <c r="F32" s="7">
        <v>21089</v>
      </c>
      <c r="G32" s="1"/>
      <c r="H32" s="7">
        <v>702200</v>
      </c>
      <c r="I32" s="1"/>
      <c r="J32" s="1"/>
      <c r="K32" s="1"/>
      <c r="L32" s="2">
        <v>0.1</v>
      </c>
      <c r="M32" s="7">
        <v>20</v>
      </c>
    </row>
    <row r="33" spans="1:13" x14ac:dyDescent="0.2">
      <c r="A33" t="s">
        <v>31</v>
      </c>
      <c r="B33">
        <v>2050</v>
      </c>
      <c r="C33" s="2">
        <v>1</v>
      </c>
      <c r="D33" s="1"/>
      <c r="E33" s="1"/>
      <c r="F33" s="7">
        <v>21089</v>
      </c>
      <c r="G33" s="1"/>
      <c r="H33" s="7">
        <v>702200</v>
      </c>
      <c r="I33" s="1"/>
      <c r="J33" s="1"/>
      <c r="K33" s="1"/>
      <c r="L33" s="2">
        <v>0.1</v>
      </c>
      <c r="M33" s="7">
        <v>20</v>
      </c>
    </row>
    <row r="34" spans="1:13" x14ac:dyDescent="0.2">
      <c r="A34" t="s">
        <v>32</v>
      </c>
      <c r="B34">
        <v>2035</v>
      </c>
      <c r="C34" s="2">
        <v>1</v>
      </c>
      <c r="D34" s="1"/>
      <c r="E34" s="1"/>
      <c r="F34" s="1"/>
      <c r="G34" s="1"/>
      <c r="H34" s="1"/>
      <c r="I34" s="1"/>
      <c r="J34" s="1"/>
      <c r="K34" s="1"/>
      <c r="L34" s="2">
        <v>0.1</v>
      </c>
      <c r="M34" s="1"/>
    </row>
    <row r="35" spans="1:13" x14ac:dyDescent="0.2">
      <c r="A35" t="s">
        <v>32</v>
      </c>
      <c r="B35">
        <v>2050</v>
      </c>
      <c r="C35" s="2">
        <v>1</v>
      </c>
      <c r="D35" s="1"/>
      <c r="E35" s="1"/>
      <c r="F35" s="1"/>
      <c r="G35" s="1"/>
      <c r="H35" s="1"/>
      <c r="I35" s="1"/>
      <c r="J35" s="1"/>
      <c r="K35" s="1"/>
      <c r="L35" s="2">
        <v>0.1</v>
      </c>
      <c r="M35" s="1"/>
    </row>
    <row r="36" spans="1:13" x14ac:dyDescent="0.2">
      <c r="A36" t="s">
        <v>33</v>
      </c>
      <c r="B36">
        <v>2035</v>
      </c>
      <c r="C36" s="2">
        <v>0.53</v>
      </c>
      <c r="D36" s="2">
        <f>0.4/C36</f>
        <v>0.75471698113207553</v>
      </c>
      <c r="E36" s="1"/>
      <c r="F36" s="7">
        <v>13690</v>
      </c>
      <c r="G36" s="1"/>
      <c r="H36" s="19">
        <f>H10*1.1</f>
        <v>716034</v>
      </c>
      <c r="I36" s="10">
        <v>1482500</v>
      </c>
      <c r="J36" s="10">
        <f>291*5</f>
        <v>1455</v>
      </c>
      <c r="K36" s="1"/>
      <c r="L36" s="1"/>
      <c r="M36" s="7">
        <v>15</v>
      </c>
    </row>
    <row r="37" spans="1:13" x14ac:dyDescent="0.2">
      <c r="A37" t="s">
        <v>33</v>
      </c>
      <c r="B37">
        <v>2050</v>
      </c>
      <c r="C37" s="2">
        <v>0.53</v>
      </c>
      <c r="D37" s="2">
        <f>0.4/C37</f>
        <v>0.75471698113207553</v>
      </c>
      <c r="E37" s="1"/>
      <c r="F37" s="7">
        <v>13690</v>
      </c>
      <c r="G37" s="1"/>
      <c r="H37" s="19">
        <f>H11*1.1</f>
        <v>716034</v>
      </c>
      <c r="I37" s="10">
        <v>1113000</v>
      </c>
      <c r="J37" s="10">
        <f>291*5</f>
        <v>1455</v>
      </c>
      <c r="K37" s="1"/>
      <c r="L37" s="1"/>
      <c r="M37" s="7">
        <v>15</v>
      </c>
    </row>
    <row r="38" spans="1:13" x14ac:dyDescent="0.2">
      <c r="A38" t="s">
        <v>34</v>
      </c>
      <c r="B38">
        <v>2035</v>
      </c>
      <c r="C38" s="8">
        <v>0.33</v>
      </c>
      <c r="D38" s="1"/>
      <c r="E38" s="2">
        <v>0</v>
      </c>
      <c r="F38" s="1"/>
      <c r="G38" s="2">
        <v>0</v>
      </c>
      <c r="H38" s="16">
        <v>10600000</v>
      </c>
      <c r="I38" s="1"/>
      <c r="J38" s="1"/>
      <c r="K38" s="1"/>
      <c r="L38" s="8">
        <v>10.8</v>
      </c>
      <c r="M38" s="7">
        <v>50</v>
      </c>
    </row>
    <row r="39" spans="1:13" x14ac:dyDescent="0.2">
      <c r="A39" t="s">
        <v>34</v>
      </c>
      <c r="B39">
        <v>2050</v>
      </c>
      <c r="C39" s="8">
        <v>0.33</v>
      </c>
      <c r="D39" s="1"/>
      <c r="E39" s="2">
        <v>0</v>
      </c>
      <c r="F39" s="1"/>
      <c r="G39" s="2">
        <v>0</v>
      </c>
      <c r="H39" s="16">
        <v>10600000</v>
      </c>
      <c r="I39" s="1"/>
      <c r="J39" s="1"/>
      <c r="K39" s="1"/>
      <c r="L39" s="8">
        <v>10.8</v>
      </c>
      <c r="M39" s="7">
        <v>50</v>
      </c>
    </row>
    <row r="40" spans="1:13" x14ac:dyDescent="0.2">
      <c r="A40" t="s">
        <v>35</v>
      </c>
      <c r="B40">
        <v>2035</v>
      </c>
      <c r="C40" s="8">
        <v>0.39</v>
      </c>
      <c r="D40" s="1"/>
      <c r="E40" s="18">
        <v>0.26390000000000002</v>
      </c>
      <c r="F40" s="1"/>
      <c r="G40" s="5">
        <v>49</v>
      </c>
      <c r="H40" s="2">
        <f>H56</f>
        <v>433960</v>
      </c>
      <c r="I40" s="1"/>
      <c r="J40" s="1"/>
      <c r="K40" s="10">
        <v>1.48</v>
      </c>
      <c r="L40" s="19">
        <f>L56</f>
        <v>5.42</v>
      </c>
      <c r="M40" s="19">
        <f>M56</f>
        <v>25</v>
      </c>
    </row>
    <row r="41" spans="1:13" x14ac:dyDescent="0.2">
      <c r="A41" t="s">
        <v>35</v>
      </c>
      <c r="B41">
        <v>2050</v>
      </c>
      <c r="C41" s="8">
        <v>0.39</v>
      </c>
      <c r="D41" s="1"/>
      <c r="E41" s="18">
        <v>0.26390000000000002</v>
      </c>
      <c r="F41" s="1"/>
      <c r="G41" s="5">
        <v>30</v>
      </c>
      <c r="H41" s="2">
        <f>H57</f>
        <v>433960</v>
      </c>
      <c r="I41" s="1"/>
      <c r="J41" s="1"/>
      <c r="K41" s="10">
        <v>1.48</v>
      </c>
      <c r="L41" s="19">
        <f>L57</f>
        <v>5.42</v>
      </c>
      <c r="M41" s="19">
        <f>M57</f>
        <v>25</v>
      </c>
    </row>
    <row r="42" spans="1:13" x14ac:dyDescent="0.2">
      <c r="A42" t="s">
        <v>36</v>
      </c>
      <c r="B42">
        <v>2035</v>
      </c>
      <c r="C42" s="2">
        <v>1</v>
      </c>
      <c r="D42" s="1"/>
      <c r="E42" s="1">
        <v>0</v>
      </c>
      <c r="F42" s="1"/>
      <c r="G42" s="1">
        <v>20</v>
      </c>
      <c r="H42" s="1"/>
      <c r="I42" s="1"/>
      <c r="J42" s="1"/>
      <c r="K42" s="1"/>
      <c r="L42" s="2">
        <v>0.1</v>
      </c>
      <c r="M42" s="1"/>
    </row>
    <row r="43" spans="1:13" x14ac:dyDescent="0.2">
      <c r="A43" t="s">
        <v>36</v>
      </c>
      <c r="B43">
        <v>2050</v>
      </c>
      <c r="C43" s="2">
        <v>1</v>
      </c>
      <c r="D43" s="1"/>
      <c r="E43" s="1">
        <v>0</v>
      </c>
      <c r="F43" s="1"/>
      <c r="G43" s="1">
        <v>20</v>
      </c>
      <c r="H43" s="1"/>
      <c r="I43" s="1"/>
      <c r="J43" s="1"/>
      <c r="K43" s="1"/>
      <c r="L43" s="2">
        <v>0.1</v>
      </c>
      <c r="M43" s="1"/>
    </row>
    <row r="44" spans="1:13" x14ac:dyDescent="0.2">
      <c r="A44" t="s">
        <v>37</v>
      </c>
      <c r="B44">
        <v>2035</v>
      </c>
      <c r="C44" s="2">
        <v>0.87</v>
      </c>
      <c r="D44" s="2">
        <v>0.87</v>
      </c>
      <c r="E44" s="1"/>
      <c r="F44" s="1"/>
      <c r="G44" s="1"/>
      <c r="H44" s="1"/>
      <c r="I44" s="1"/>
      <c r="J44" s="1"/>
      <c r="K44" s="1"/>
      <c r="L44" s="2">
        <v>0.1</v>
      </c>
      <c r="M44" s="1"/>
    </row>
    <row r="45" spans="1:13" x14ac:dyDescent="0.2">
      <c r="A45" t="s">
        <v>37</v>
      </c>
      <c r="B45">
        <v>2050</v>
      </c>
      <c r="C45" s="2">
        <v>0.87</v>
      </c>
      <c r="D45" s="2">
        <v>0.87</v>
      </c>
      <c r="E45" s="1"/>
      <c r="F45" s="1"/>
      <c r="G45" s="1"/>
      <c r="H45" s="1"/>
      <c r="I45" s="1"/>
      <c r="J45" s="1"/>
      <c r="K45" s="1"/>
      <c r="L45" s="2">
        <v>0.1</v>
      </c>
      <c r="M45" s="1"/>
    </row>
    <row r="46" spans="1:13" x14ac:dyDescent="0.2">
      <c r="A46" t="s">
        <v>38</v>
      </c>
      <c r="B46">
        <v>2035</v>
      </c>
      <c r="C46" s="2">
        <v>0.87</v>
      </c>
      <c r="D46" s="2">
        <v>0.87</v>
      </c>
      <c r="E46" s="1"/>
      <c r="F46" s="1"/>
      <c r="G46" s="1"/>
      <c r="H46" s="1"/>
      <c r="I46" s="1"/>
      <c r="J46" s="1"/>
      <c r="K46" s="1"/>
      <c r="L46" s="2">
        <v>0.1</v>
      </c>
      <c r="M46" s="1"/>
    </row>
    <row r="47" spans="1:13" x14ac:dyDescent="0.2">
      <c r="A47" t="s">
        <v>38</v>
      </c>
      <c r="B47">
        <v>2050</v>
      </c>
      <c r="C47" s="2">
        <v>0.87</v>
      </c>
      <c r="D47" s="2">
        <v>0.87</v>
      </c>
      <c r="E47" s="1"/>
      <c r="F47" s="1"/>
      <c r="G47" s="1"/>
      <c r="H47" s="1"/>
      <c r="I47" s="1"/>
      <c r="J47" s="1"/>
      <c r="K47" s="1"/>
      <c r="L47" s="2">
        <v>0.1</v>
      </c>
      <c r="M47" s="1"/>
    </row>
    <row r="48" spans="1:13" x14ac:dyDescent="0.2">
      <c r="A48" t="s">
        <v>16</v>
      </c>
      <c r="B48">
        <v>2035</v>
      </c>
      <c r="C48" s="15">
        <v>0.92195444572928897</v>
      </c>
      <c r="D48" s="15">
        <v>0.92195444572928897</v>
      </c>
      <c r="E48" s="1"/>
      <c r="F48" s="1"/>
      <c r="G48" s="1"/>
      <c r="H48" s="15">
        <v>11770</v>
      </c>
      <c r="I48" s="1"/>
      <c r="J48" s="13">
        <v>454.5</v>
      </c>
      <c r="K48" s="1"/>
      <c r="L48" s="2">
        <v>0.1</v>
      </c>
      <c r="M48" s="15">
        <v>25</v>
      </c>
    </row>
    <row r="49" spans="1:13" x14ac:dyDescent="0.2">
      <c r="A49" t="s">
        <v>16</v>
      </c>
      <c r="B49">
        <v>2050</v>
      </c>
      <c r="C49" s="15">
        <v>0.92195444572928897</v>
      </c>
      <c r="D49" s="15">
        <v>0.92195444572928897</v>
      </c>
      <c r="E49" s="1"/>
      <c r="F49" s="1"/>
      <c r="G49" s="1"/>
      <c r="H49" s="15">
        <v>11770</v>
      </c>
      <c r="I49" s="1"/>
      <c r="J49" s="13">
        <v>454.5</v>
      </c>
      <c r="K49" s="1"/>
      <c r="L49" s="2">
        <v>0.1</v>
      </c>
      <c r="M49" s="15">
        <v>25</v>
      </c>
    </row>
    <row r="50" spans="1:13" x14ac:dyDescent="0.2">
      <c r="A50" t="s">
        <v>39</v>
      </c>
      <c r="B50">
        <v>2035</v>
      </c>
      <c r="C50" s="2">
        <v>1</v>
      </c>
      <c r="D50" s="1"/>
      <c r="E50" s="1"/>
      <c r="F50" s="5">
        <v>43000</v>
      </c>
      <c r="G50" s="1"/>
      <c r="H50" s="8">
        <v>697000</v>
      </c>
      <c r="I50" s="1"/>
      <c r="J50" s="1"/>
      <c r="K50" s="1"/>
      <c r="L50" s="1"/>
      <c r="M50" s="7">
        <v>25</v>
      </c>
    </row>
    <row r="51" spans="1:13" x14ac:dyDescent="0.2">
      <c r="A51" t="s">
        <v>39</v>
      </c>
      <c r="B51">
        <v>2050</v>
      </c>
      <c r="C51" s="2">
        <v>1</v>
      </c>
      <c r="D51" s="1"/>
      <c r="E51" s="1"/>
      <c r="F51" s="5">
        <v>38000</v>
      </c>
      <c r="G51" s="1"/>
      <c r="H51" s="8">
        <v>615000</v>
      </c>
      <c r="I51" s="1"/>
      <c r="J51" s="1"/>
      <c r="K51" s="1"/>
      <c r="L51" s="1"/>
      <c r="M51" s="7">
        <v>25</v>
      </c>
    </row>
    <row r="52" spans="1:13" x14ac:dyDescent="0.2">
      <c r="A52" t="s">
        <v>40</v>
      </c>
      <c r="B52">
        <v>2035</v>
      </c>
      <c r="C52" s="7">
        <v>1</v>
      </c>
      <c r="D52" s="1"/>
      <c r="E52" s="1"/>
      <c r="F52" s="7">
        <v>190</v>
      </c>
      <c r="G52" s="1"/>
      <c r="H52" s="7">
        <v>42700</v>
      </c>
      <c r="I52" s="1"/>
      <c r="J52" s="1"/>
      <c r="K52" s="1"/>
      <c r="L52" s="1"/>
      <c r="M52" s="7">
        <v>15</v>
      </c>
    </row>
    <row r="53" spans="1:13" x14ac:dyDescent="0.2">
      <c r="A53" t="s">
        <v>40</v>
      </c>
      <c r="B53">
        <v>2050</v>
      </c>
      <c r="C53" s="7">
        <v>1</v>
      </c>
      <c r="D53" s="1"/>
      <c r="E53" s="1"/>
      <c r="F53" s="7">
        <v>190</v>
      </c>
      <c r="G53" s="1"/>
      <c r="H53" s="7">
        <v>42700</v>
      </c>
      <c r="I53" s="1"/>
      <c r="J53" s="1"/>
      <c r="K53" s="1"/>
      <c r="L53" s="1"/>
      <c r="M53" s="7">
        <v>15</v>
      </c>
    </row>
    <row r="54" spans="1:13" x14ac:dyDescent="0.2">
      <c r="A54" t="s">
        <v>15</v>
      </c>
      <c r="B54">
        <v>2035</v>
      </c>
      <c r="C54" s="1"/>
      <c r="D54" s="1"/>
      <c r="E54" s="1"/>
      <c r="F54" s="2"/>
      <c r="G54" s="1"/>
      <c r="H54" s="1"/>
      <c r="I54" s="1"/>
      <c r="J54" s="1"/>
      <c r="K54" s="10">
        <v>291</v>
      </c>
      <c r="L54" s="1"/>
      <c r="M54" s="1"/>
    </row>
    <row r="55" spans="1:13" x14ac:dyDescent="0.2">
      <c r="A55" t="s">
        <v>15</v>
      </c>
      <c r="B55">
        <v>2050</v>
      </c>
      <c r="C55" s="1"/>
      <c r="D55" s="1"/>
      <c r="E55" s="1"/>
      <c r="F55" s="2"/>
      <c r="G55" s="1"/>
      <c r="H55" s="1"/>
      <c r="I55" s="1"/>
      <c r="J55" s="1"/>
      <c r="K55" s="10">
        <v>291</v>
      </c>
      <c r="L55" s="1"/>
      <c r="M55" s="1"/>
    </row>
    <row r="56" spans="1:13" x14ac:dyDescent="0.2">
      <c r="A56" t="s">
        <v>17</v>
      </c>
      <c r="B56">
        <v>2035</v>
      </c>
      <c r="C56" s="7">
        <v>0.35</v>
      </c>
      <c r="D56" s="1"/>
      <c r="E56" s="18">
        <v>0.20119999999999999</v>
      </c>
      <c r="F56" s="2"/>
      <c r="G56" s="5">
        <v>26</v>
      </c>
      <c r="H56" s="10">
        <f>H10*(2/3)</f>
        <v>433960</v>
      </c>
      <c r="I56" s="1"/>
      <c r="J56" s="1"/>
      <c r="K56" s="1"/>
      <c r="L56" s="7">
        <v>5.42</v>
      </c>
      <c r="M56" s="7">
        <v>25</v>
      </c>
    </row>
    <row r="57" spans="1:13" x14ac:dyDescent="0.2">
      <c r="A57" t="s">
        <v>17</v>
      </c>
      <c r="B57">
        <v>2050</v>
      </c>
      <c r="C57" s="7">
        <v>0.35</v>
      </c>
      <c r="D57" s="1"/>
      <c r="E57" s="18">
        <v>0.20119999999999999</v>
      </c>
      <c r="F57" s="2"/>
      <c r="G57" s="5">
        <v>18</v>
      </c>
      <c r="H57" s="10">
        <f>H11*(2/3)</f>
        <v>433960</v>
      </c>
      <c r="I57" s="1"/>
      <c r="J57" s="1"/>
      <c r="K57" s="1"/>
      <c r="L57" s="7">
        <v>5.42</v>
      </c>
      <c r="M57" s="7">
        <v>25</v>
      </c>
    </row>
    <row r="58" spans="1:13" x14ac:dyDescent="0.2">
      <c r="A58" t="s">
        <v>18</v>
      </c>
      <c r="B58">
        <v>2035</v>
      </c>
      <c r="C58" s="7">
        <v>0.35</v>
      </c>
      <c r="D58" s="1"/>
      <c r="E58" s="14">
        <v>0</v>
      </c>
      <c r="F58" s="2"/>
      <c r="G58" s="7">
        <f>55*3.6</f>
        <v>198</v>
      </c>
      <c r="H58" s="10">
        <f>H10*(2/3)</f>
        <v>433960</v>
      </c>
      <c r="I58" s="1"/>
      <c r="J58" s="1"/>
      <c r="K58" s="1"/>
      <c r="L58" s="7">
        <v>5.42</v>
      </c>
      <c r="M58" s="7">
        <v>25</v>
      </c>
    </row>
    <row r="59" spans="1:13" x14ac:dyDescent="0.2">
      <c r="A59" t="s">
        <v>18</v>
      </c>
      <c r="B59">
        <v>2050</v>
      </c>
      <c r="C59" s="7">
        <v>0.35</v>
      </c>
      <c r="D59" s="1"/>
      <c r="E59" s="14">
        <v>0</v>
      </c>
      <c r="F59" s="2"/>
      <c r="G59" s="7">
        <f>55*3.6</f>
        <v>198</v>
      </c>
      <c r="H59" s="10">
        <f>H11*(2/3)</f>
        <v>433960</v>
      </c>
      <c r="I59" s="1"/>
      <c r="J59" s="1"/>
      <c r="K59" s="1"/>
      <c r="L59" s="7">
        <v>5.42</v>
      </c>
      <c r="M59" s="7">
        <v>25</v>
      </c>
    </row>
    <row r="60" spans="1:13" x14ac:dyDescent="0.2">
      <c r="A60" t="s">
        <v>19</v>
      </c>
      <c r="B60">
        <v>2035</v>
      </c>
      <c r="C60" s="15">
        <v>0.92195444572928897</v>
      </c>
      <c r="D60" s="15">
        <v>0.92195444572928897</v>
      </c>
      <c r="E60" s="1"/>
      <c r="F60" s="2"/>
      <c r="G60" s="1"/>
      <c r="H60" s="15">
        <v>3000</v>
      </c>
      <c r="I60" s="1"/>
      <c r="J60" s="13">
        <v>12625</v>
      </c>
      <c r="K60" s="1"/>
      <c r="L60" s="2">
        <v>0.1</v>
      </c>
      <c r="M60" s="15">
        <v>37.5</v>
      </c>
    </row>
    <row r="61" spans="1:13" x14ac:dyDescent="0.2">
      <c r="A61" t="s">
        <v>19</v>
      </c>
      <c r="B61">
        <v>2050</v>
      </c>
      <c r="C61" s="15">
        <v>0.92195444572928897</v>
      </c>
      <c r="D61" s="15">
        <v>0.92195444572928897</v>
      </c>
      <c r="E61" s="1"/>
      <c r="F61" s="2"/>
      <c r="G61" s="1"/>
      <c r="H61" s="15">
        <v>3000</v>
      </c>
      <c r="I61" s="1"/>
      <c r="J61" s="13">
        <v>12625</v>
      </c>
      <c r="K61" s="1"/>
      <c r="L61" s="2">
        <v>0.1</v>
      </c>
      <c r="M61" s="15">
        <v>37.5</v>
      </c>
    </row>
    <row r="62" spans="1:13" x14ac:dyDescent="0.2">
      <c r="A62" t="s">
        <v>41</v>
      </c>
      <c r="B62">
        <v>2035</v>
      </c>
      <c r="C62" s="7">
        <f>SQRT(0.86)</f>
        <v>0.92736184954957035</v>
      </c>
      <c r="D62" s="7">
        <f>SQRT(0.86)</f>
        <v>0.92736184954957035</v>
      </c>
      <c r="E62" s="1"/>
      <c r="F62" s="2"/>
      <c r="G62" s="1"/>
      <c r="H62" s="1"/>
      <c r="I62" s="1"/>
      <c r="J62" s="1"/>
      <c r="K62" s="1"/>
      <c r="L62" s="2">
        <v>0.1</v>
      </c>
      <c r="M62" s="1"/>
    </row>
    <row r="63" spans="1:13" x14ac:dyDescent="0.2">
      <c r="A63" t="s">
        <v>41</v>
      </c>
      <c r="B63">
        <v>2050</v>
      </c>
      <c r="C63" s="7">
        <f>SQRT(0.86)</f>
        <v>0.92736184954957035</v>
      </c>
      <c r="D63" s="7">
        <f>SQRT(0.86)</f>
        <v>0.92736184954957035</v>
      </c>
      <c r="E63" s="1"/>
      <c r="F63" s="2"/>
      <c r="G63" s="1"/>
      <c r="H63" s="1"/>
      <c r="I63" s="1"/>
      <c r="J63" s="1"/>
      <c r="K63" s="1"/>
      <c r="L63" s="2">
        <v>0.1</v>
      </c>
      <c r="M63" s="1"/>
    </row>
    <row r="64" spans="1:13" x14ac:dyDescent="0.2">
      <c r="A64" t="s">
        <v>42</v>
      </c>
      <c r="B64">
        <v>2035</v>
      </c>
      <c r="C64" s="2">
        <v>1</v>
      </c>
      <c r="D64" s="1"/>
      <c r="E64" s="1"/>
      <c r="F64" s="5">
        <v>69000</v>
      </c>
      <c r="G64" s="1"/>
      <c r="H64" s="8">
        <v>1997284</v>
      </c>
      <c r="I64" s="1"/>
      <c r="J64" s="1"/>
      <c r="K64" s="1"/>
      <c r="L64" s="1"/>
      <c r="M64" s="7">
        <v>25</v>
      </c>
    </row>
    <row r="65" spans="1:13" x14ac:dyDescent="0.2">
      <c r="A65" t="s">
        <v>42</v>
      </c>
      <c r="B65">
        <v>2050</v>
      </c>
      <c r="C65" s="2">
        <v>1</v>
      </c>
      <c r="D65" s="1"/>
      <c r="E65" s="1"/>
      <c r="F65" s="5">
        <v>63000</v>
      </c>
      <c r="G65" s="1"/>
      <c r="H65" s="8">
        <v>1778000</v>
      </c>
      <c r="I65" s="1"/>
      <c r="J65" s="1"/>
      <c r="K65" s="1"/>
      <c r="L65" s="1"/>
      <c r="M65" s="7">
        <v>25</v>
      </c>
    </row>
    <row r="66" spans="1:13" x14ac:dyDescent="0.2">
      <c r="A66" t="s">
        <v>69</v>
      </c>
      <c r="B66">
        <v>2035</v>
      </c>
      <c r="C66" s="2">
        <v>1</v>
      </c>
    </row>
    <row r="67" spans="1:13" x14ac:dyDescent="0.2">
      <c r="A67" t="s">
        <v>69</v>
      </c>
      <c r="B67">
        <v>2050</v>
      </c>
      <c r="C67" s="2">
        <v>1</v>
      </c>
    </row>
  </sheetData>
  <mergeCells count="1">
    <mergeCell ref="A1:M1"/>
  </mergeCells>
  <pageMargins left="0.7" right="0.7" top="0.78740157499999996" bottom="0.78740157499999996"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A2E79A-A4D0-4AB5-AF1C-49013E886DE5}">
  <dimension ref="A1:B10"/>
  <sheetViews>
    <sheetView workbookViewId="0">
      <selection activeCell="D20" sqref="D20"/>
    </sheetView>
  </sheetViews>
  <sheetFormatPr baseColWidth="10" defaultRowHeight="12.75" x14ac:dyDescent="0.2"/>
  <cols>
    <col min="1" max="1" width="41" bestFit="1" customWidth="1"/>
  </cols>
  <sheetData>
    <row r="1" spans="1:2" x14ac:dyDescent="0.2">
      <c r="A1" t="s">
        <v>43</v>
      </c>
    </row>
    <row r="2" spans="1:2" x14ac:dyDescent="0.2">
      <c r="A2">
        <v>1.0249999999999999</v>
      </c>
    </row>
    <row r="4" spans="1:2" x14ac:dyDescent="0.2">
      <c r="A4" t="s">
        <v>44</v>
      </c>
    </row>
    <row r="5" spans="1:2" x14ac:dyDescent="0.2">
      <c r="A5" t="s">
        <v>45</v>
      </c>
      <c r="B5">
        <v>1.1119000000000001</v>
      </c>
    </row>
    <row r="6" spans="1:2" x14ac:dyDescent="0.2">
      <c r="A6" t="s">
        <v>48</v>
      </c>
      <c r="B6">
        <v>0.88890000000000002</v>
      </c>
    </row>
    <row r="7" spans="1:2" x14ac:dyDescent="0.2">
      <c r="A7" t="s">
        <v>46</v>
      </c>
      <c r="B7">
        <v>0.98429999999999995</v>
      </c>
    </row>
    <row r="8" spans="1:2" x14ac:dyDescent="0.2">
      <c r="A8" t="s">
        <v>47</v>
      </c>
      <c r="B8">
        <v>0.81479999999999997</v>
      </c>
    </row>
    <row r="9" spans="1:2" x14ac:dyDescent="0.2">
      <c r="A9" t="s">
        <v>53</v>
      </c>
      <c r="B9">
        <v>1.1435</v>
      </c>
    </row>
    <row r="10" spans="1:2" x14ac:dyDescent="0.2">
      <c r="A10" t="s">
        <v>55</v>
      </c>
      <c r="B10">
        <v>0.98099999999999998</v>
      </c>
    </row>
  </sheetData>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226CA5-FE1B-42B1-AEE0-754AD0A8D9E4}">
  <dimension ref="A1:Q65"/>
  <sheetViews>
    <sheetView workbookViewId="0">
      <selection activeCell="A38" sqref="A38:XFD39"/>
    </sheetView>
  </sheetViews>
  <sheetFormatPr baseColWidth="10" defaultRowHeight="12.75" x14ac:dyDescent="0.2"/>
  <cols>
    <col min="1" max="1" width="20.7109375" bestFit="1" customWidth="1"/>
  </cols>
  <sheetData>
    <row r="1" spans="1:17" x14ac:dyDescent="0.2">
      <c r="A1" t="s">
        <v>0</v>
      </c>
      <c r="B1" t="s">
        <v>1</v>
      </c>
      <c r="C1" t="s">
        <v>2</v>
      </c>
      <c r="D1" t="s">
        <v>3</v>
      </c>
      <c r="E1" t="s">
        <v>4</v>
      </c>
      <c r="F1" t="s">
        <v>5</v>
      </c>
      <c r="G1" t="s">
        <v>6</v>
      </c>
      <c r="H1" t="s">
        <v>7</v>
      </c>
      <c r="I1" t="s">
        <v>66</v>
      </c>
      <c r="J1" t="s">
        <v>8</v>
      </c>
      <c r="K1" t="s">
        <v>9</v>
      </c>
      <c r="L1" t="s">
        <v>10</v>
      </c>
      <c r="M1" t="s">
        <v>11</v>
      </c>
    </row>
    <row r="2" spans="1:17" x14ac:dyDescent="0.2">
      <c r="A2" t="str">
        <f>'01_Raw_Inputs'!A4</f>
        <v>battery</v>
      </c>
      <c r="B2">
        <f>'01_Raw_Inputs'!B4</f>
        <v>2035</v>
      </c>
      <c r="C2">
        <f>ROUND('01_Raw_Inputs'!C4,4)</f>
        <v>0.9274</v>
      </c>
      <c r="D2">
        <f>ROUND('01_Raw_Inputs'!D4,4)</f>
        <v>0.9274</v>
      </c>
      <c r="E2">
        <f>ROUND('01_Raw_Inputs'!E4,4)</f>
        <v>0</v>
      </c>
      <c r="F2">
        <f>ROUND('01_Raw_Inputs'!F4*'02_Parameters'!$B$5,4)</f>
        <v>140.0994</v>
      </c>
      <c r="G2">
        <f>ROUND('01_Raw_Inputs'!G4,4)</f>
        <v>0</v>
      </c>
      <c r="H2">
        <f>ROUND('01_Raw_Inputs'!H4,4)</f>
        <v>43606</v>
      </c>
      <c r="I2">
        <f>ROUND('01_Raw_Inputs'!I4,4)</f>
        <v>0</v>
      </c>
      <c r="J2">
        <f>ROUND('01_Raw_Inputs'!J4,4)</f>
        <v>51581</v>
      </c>
      <c r="K2">
        <f>ROUND('01_Raw_Inputs'!K4,4)</f>
        <v>0</v>
      </c>
      <c r="L2">
        <f>ROUND('01_Raw_Inputs'!L4,4)</f>
        <v>0.1</v>
      </c>
      <c r="M2">
        <f>ROUND('01_Raw_Inputs'!M4,4)</f>
        <v>10</v>
      </c>
      <c r="O2" s="1"/>
      <c r="P2" s="1"/>
      <c r="Q2" s="1"/>
    </row>
    <row r="3" spans="1:17" x14ac:dyDescent="0.2">
      <c r="A3" t="str">
        <f>'01_Raw_Inputs'!A5</f>
        <v>battery</v>
      </c>
      <c r="B3">
        <f>'01_Raw_Inputs'!B5</f>
        <v>2050</v>
      </c>
      <c r="C3">
        <f>ROUND('01_Raw_Inputs'!C5,4)</f>
        <v>0.9274</v>
      </c>
      <c r="D3">
        <f>ROUND('01_Raw_Inputs'!D5,4)</f>
        <v>0.9274</v>
      </c>
      <c r="E3">
        <f>ROUND('01_Raw_Inputs'!E5,4)</f>
        <v>0</v>
      </c>
      <c r="F3">
        <f>ROUND('01_Raw_Inputs'!F5*'02_Parameters'!$B$5,4)</f>
        <v>140.0994</v>
      </c>
      <c r="G3">
        <f>ROUND('01_Raw_Inputs'!G5,4)</f>
        <v>0</v>
      </c>
      <c r="H3">
        <f>ROUND('01_Raw_Inputs'!H5,4)</f>
        <v>37378</v>
      </c>
      <c r="I3">
        <f>ROUND('01_Raw_Inputs'!I5,4)</f>
        <v>0</v>
      </c>
      <c r="J3">
        <f>ROUND('01_Raw_Inputs'!J5,4)</f>
        <v>44212</v>
      </c>
      <c r="K3">
        <f>ROUND('01_Raw_Inputs'!K5,4)</f>
        <v>0</v>
      </c>
      <c r="L3">
        <f>ROUND('01_Raw_Inputs'!L5,4)</f>
        <v>0.1</v>
      </c>
      <c r="M3">
        <f>ROUND('01_Raw_Inputs'!M5,4)</f>
        <v>10</v>
      </c>
      <c r="O3" s="1"/>
      <c r="P3" s="1"/>
      <c r="Q3" s="1"/>
    </row>
    <row r="4" spans="1:17" x14ac:dyDescent="0.2">
      <c r="A4" t="str">
        <f>'01_Raw_Inputs'!A6</f>
        <v>biomass</v>
      </c>
      <c r="B4">
        <f>'01_Raw_Inputs'!B6</f>
        <v>2035</v>
      </c>
      <c r="C4">
        <f>ROUND('01_Raw_Inputs'!C6,4)</f>
        <v>0.45</v>
      </c>
      <c r="D4">
        <f>ROUND('01_Raw_Inputs'!D6,4)</f>
        <v>0</v>
      </c>
      <c r="E4">
        <f>ROUND('01_Raw_Inputs'!E6,4)</f>
        <v>0</v>
      </c>
      <c r="F4">
        <f>ROUND('01_Raw_Inputs'!F6,4)</f>
        <v>0</v>
      </c>
      <c r="G4">
        <f>ROUND('01_Raw_Inputs'!G6,4)</f>
        <v>37</v>
      </c>
      <c r="H4">
        <f>ROUND('01_Raw_Inputs'!H6,4)</f>
        <v>0</v>
      </c>
      <c r="I4">
        <f>ROUND('01_Raw_Inputs'!I6,4)</f>
        <v>0</v>
      </c>
      <c r="J4">
        <f>ROUND('01_Raw_Inputs'!J6,4)</f>
        <v>0</v>
      </c>
      <c r="K4">
        <f>ROUND('01_Raw_Inputs'!K6,4)</f>
        <v>0</v>
      </c>
      <c r="L4">
        <f>ROUND('01_Raw_Inputs'!L6,4)</f>
        <v>0</v>
      </c>
      <c r="M4">
        <f>ROUND('01_Raw_Inputs'!M6,4)</f>
        <v>0</v>
      </c>
    </row>
    <row r="5" spans="1:17" x14ac:dyDescent="0.2">
      <c r="A5" t="str">
        <f>'01_Raw_Inputs'!A7</f>
        <v>biomass</v>
      </c>
      <c r="B5">
        <f>'01_Raw_Inputs'!B7</f>
        <v>2050</v>
      </c>
      <c r="C5">
        <f>ROUND('01_Raw_Inputs'!C7,4)</f>
        <v>0.45</v>
      </c>
      <c r="D5">
        <f>ROUND('01_Raw_Inputs'!D7,4)</f>
        <v>0</v>
      </c>
      <c r="E5">
        <f>ROUND('01_Raw_Inputs'!E7,4)</f>
        <v>0</v>
      </c>
      <c r="F5">
        <f>ROUND('01_Raw_Inputs'!F7,4)</f>
        <v>0</v>
      </c>
      <c r="G5">
        <f>ROUND('01_Raw_Inputs'!G7,4)</f>
        <v>44</v>
      </c>
      <c r="H5">
        <f>ROUND('01_Raw_Inputs'!H7,4)</f>
        <v>0</v>
      </c>
      <c r="I5">
        <f>ROUND('01_Raw_Inputs'!I7,4)</f>
        <v>0</v>
      </c>
      <c r="J5">
        <f>ROUND('01_Raw_Inputs'!J7,4)</f>
        <v>0</v>
      </c>
      <c r="K5">
        <f>ROUND('01_Raw_Inputs'!K7,4)</f>
        <v>0</v>
      </c>
      <c r="L5">
        <f>ROUND('01_Raw_Inputs'!L7,4)</f>
        <v>0</v>
      </c>
      <c r="M5">
        <f>ROUND('01_Raw_Inputs'!M7,4)</f>
        <v>0</v>
      </c>
    </row>
    <row r="6" spans="1:17" x14ac:dyDescent="0.2">
      <c r="A6" t="str">
        <f>'01_Raw_Inputs'!A8</f>
        <v>CCGTCCS</v>
      </c>
      <c r="B6">
        <f>'01_Raw_Inputs'!B8</f>
        <v>2035</v>
      </c>
      <c r="C6">
        <f>ROUND('01_Raw_Inputs'!C8,4)</f>
        <v>0.47</v>
      </c>
      <c r="D6">
        <f>ROUND('01_Raw_Inputs'!D8,4)</f>
        <v>0</v>
      </c>
      <c r="E6">
        <f>ROUND('01_Raw_Inputs'!E8,4)</f>
        <v>2.01E-2</v>
      </c>
      <c r="F6">
        <f>ROUND('01_Raw_Inputs'!F8*'02_Parameters'!$B$5,4)</f>
        <v>26.896899999999999</v>
      </c>
      <c r="G6">
        <f>ROUND('01_Raw_Inputs'!G8*'02_Parameters'!$B$7,4)</f>
        <v>25.591799999999999</v>
      </c>
      <c r="H6">
        <f>ROUND('01_Raw_Inputs'!H8*'02_Parameters'!$B$5,4)</f>
        <v>1568179.284</v>
      </c>
      <c r="I6">
        <f>ROUND('01_Raw_Inputs'!I8,4)</f>
        <v>0</v>
      </c>
      <c r="J6">
        <f>ROUND('01_Raw_Inputs'!J8,4)</f>
        <v>0</v>
      </c>
      <c r="K6">
        <f>ROUND('01_Raw_Inputs'!K8,4)</f>
        <v>0</v>
      </c>
      <c r="L6">
        <f>ROUND('01_Raw_Inputs'!L8*'02_Parameters'!$B$5,4)</f>
        <v>6.0265000000000004</v>
      </c>
      <c r="M6">
        <f>ROUND('01_Raw_Inputs'!M8,4)</f>
        <v>25</v>
      </c>
      <c r="O6" s="1"/>
    </row>
    <row r="7" spans="1:17" x14ac:dyDescent="0.2">
      <c r="A7" t="str">
        <f>'01_Raw_Inputs'!A9</f>
        <v>CCGTCCS</v>
      </c>
      <c r="B7">
        <f>'01_Raw_Inputs'!B9</f>
        <v>2050</v>
      </c>
      <c r="C7">
        <f>ROUND('01_Raw_Inputs'!C9,4)</f>
        <v>0.47</v>
      </c>
      <c r="D7">
        <f>ROUND('01_Raw_Inputs'!D9,4)</f>
        <v>0</v>
      </c>
      <c r="E7">
        <f>ROUND('01_Raw_Inputs'!E9,4)</f>
        <v>2.01E-2</v>
      </c>
      <c r="F7">
        <f>ROUND('01_Raw_Inputs'!F9*'02_Parameters'!$B$5,4)</f>
        <v>26.896899999999999</v>
      </c>
      <c r="G7">
        <f>ROUND('01_Raw_Inputs'!G9*'02_Parameters'!$B$7,4)</f>
        <v>17.717400000000001</v>
      </c>
      <c r="H7">
        <f>ROUND('01_Raw_Inputs'!H9*'02_Parameters'!$B$5,4)</f>
        <v>1568179.284</v>
      </c>
      <c r="I7">
        <f>ROUND('01_Raw_Inputs'!I9,4)</f>
        <v>0</v>
      </c>
      <c r="J7">
        <f>ROUND('01_Raw_Inputs'!J9,4)</f>
        <v>0</v>
      </c>
      <c r="K7">
        <f>ROUND('01_Raw_Inputs'!K9,4)</f>
        <v>0</v>
      </c>
      <c r="L7">
        <f>ROUND('01_Raw_Inputs'!L9*'02_Parameters'!$B$5,4)</f>
        <v>6.0265000000000004</v>
      </c>
      <c r="M7">
        <f>ROUND('01_Raw_Inputs'!M9,4)</f>
        <v>25</v>
      </c>
      <c r="O7" s="1"/>
    </row>
    <row r="8" spans="1:17" x14ac:dyDescent="0.2">
      <c r="A8" t="str">
        <f>'01_Raw_Inputs'!A10</f>
        <v>CCGTresmethane</v>
      </c>
      <c r="B8">
        <f>'01_Raw_Inputs'!B10</f>
        <v>2035</v>
      </c>
      <c r="C8">
        <f>ROUND('01_Raw_Inputs'!C10,4)</f>
        <v>0.53</v>
      </c>
      <c r="D8">
        <f>ROUND('01_Raw_Inputs'!D10,4)</f>
        <v>0</v>
      </c>
      <c r="E8">
        <f>ROUND('01_Raw_Inputs'!E10,4)</f>
        <v>0</v>
      </c>
      <c r="F8">
        <f>ROUND('01_Raw_Inputs'!F10*'02_Parameters'!$B$5,4)</f>
        <v>15.8001</v>
      </c>
      <c r="G8">
        <f>ROUND('01_Raw_Inputs'!G10*'02_Parameters'!$B$5,4)</f>
        <v>220.15620000000001</v>
      </c>
      <c r="H8">
        <f>ROUND('01_Raw_Inputs'!H10*'02_Parameters'!$B$5,4)</f>
        <v>723780.18599999999</v>
      </c>
      <c r="I8">
        <f>ROUND('01_Raw_Inputs'!I10,4)</f>
        <v>0</v>
      </c>
      <c r="J8">
        <f>ROUND('01_Raw_Inputs'!J10,4)</f>
        <v>0</v>
      </c>
      <c r="K8">
        <f>ROUND('01_Raw_Inputs'!K10,4)</f>
        <v>0</v>
      </c>
      <c r="L8">
        <f>ROUND('01_Raw_Inputs'!L10*'02_Parameters'!$B$5,4)</f>
        <v>4.8255999999999997</v>
      </c>
      <c r="M8">
        <f>ROUND('01_Raw_Inputs'!M10,4)</f>
        <v>25</v>
      </c>
      <c r="O8" s="1"/>
    </row>
    <row r="9" spans="1:17" x14ac:dyDescent="0.2">
      <c r="A9" t="str">
        <f>'01_Raw_Inputs'!A11</f>
        <v>CCGTresmethane</v>
      </c>
      <c r="B9">
        <f>'01_Raw_Inputs'!B11</f>
        <v>2050</v>
      </c>
      <c r="C9">
        <f>ROUND('01_Raw_Inputs'!C11,4)</f>
        <v>0.53</v>
      </c>
      <c r="D9">
        <f>ROUND('01_Raw_Inputs'!D11,4)</f>
        <v>0</v>
      </c>
      <c r="E9">
        <f>ROUND('01_Raw_Inputs'!E11,4)</f>
        <v>0</v>
      </c>
      <c r="F9">
        <f>ROUND('01_Raw_Inputs'!F11*'02_Parameters'!$B$5,4)</f>
        <v>15.8001</v>
      </c>
      <c r="G9">
        <f>ROUND('01_Raw_Inputs'!G11*'02_Parameters'!$B$5,4)</f>
        <v>220.15620000000001</v>
      </c>
      <c r="H9">
        <f>ROUND('01_Raw_Inputs'!H11*'02_Parameters'!$B$5,4)</f>
        <v>723780.18599999999</v>
      </c>
      <c r="I9">
        <f>ROUND('01_Raw_Inputs'!I11,4)</f>
        <v>0</v>
      </c>
      <c r="J9">
        <f>ROUND('01_Raw_Inputs'!J11,4)</f>
        <v>0</v>
      </c>
      <c r="K9">
        <f>ROUND('01_Raw_Inputs'!K11,4)</f>
        <v>0</v>
      </c>
      <c r="L9">
        <f>ROUND('01_Raw_Inputs'!L11*'02_Parameters'!$B$5,4)</f>
        <v>4.8255999999999997</v>
      </c>
      <c r="M9">
        <f>ROUND('01_Raw_Inputs'!M11,4)</f>
        <v>25</v>
      </c>
      <c r="O9" s="1"/>
    </row>
    <row r="10" spans="1:17" x14ac:dyDescent="0.2">
      <c r="A10" t="str">
        <f>'01_Raw_Inputs'!A12</f>
        <v>co2</v>
      </c>
      <c r="B10">
        <f>'01_Raw_Inputs'!B12</f>
        <v>2035</v>
      </c>
      <c r="C10">
        <f>ROUND('01_Raw_Inputs'!C12,4)</f>
        <v>0</v>
      </c>
      <c r="D10">
        <f>ROUND('01_Raw_Inputs'!D12,4)</f>
        <v>0</v>
      </c>
      <c r="E10">
        <f>ROUND('01_Raw_Inputs'!E12,4)</f>
        <v>0</v>
      </c>
      <c r="F10">
        <f>ROUND('01_Raw_Inputs'!F12,4)</f>
        <v>0</v>
      </c>
      <c r="G10">
        <f>ROUND('01_Raw_Inputs'!G12*'02_Parameters'!$B$7,4)</f>
        <v>85.141999999999996</v>
      </c>
      <c r="H10">
        <f>ROUND('01_Raw_Inputs'!H12,4)</f>
        <v>0</v>
      </c>
      <c r="I10">
        <f>ROUND('01_Raw_Inputs'!I12,4)</f>
        <v>0</v>
      </c>
      <c r="J10">
        <f>ROUND('01_Raw_Inputs'!J12,4)</f>
        <v>0</v>
      </c>
      <c r="K10">
        <f>ROUND('01_Raw_Inputs'!K12,4)</f>
        <v>0</v>
      </c>
      <c r="L10">
        <f>ROUND('01_Raw_Inputs'!L12,4)</f>
        <v>0</v>
      </c>
      <c r="M10">
        <f>ROUND('01_Raw_Inputs'!M12,4)</f>
        <v>0</v>
      </c>
      <c r="O10" s="1"/>
    </row>
    <row r="11" spans="1:17" x14ac:dyDescent="0.2">
      <c r="A11" t="str">
        <f>'01_Raw_Inputs'!A13</f>
        <v>co2</v>
      </c>
      <c r="B11">
        <f>'01_Raw_Inputs'!B13</f>
        <v>2050</v>
      </c>
      <c r="C11">
        <f>ROUND('01_Raw_Inputs'!C13,4)</f>
        <v>0</v>
      </c>
      <c r="D11">
        <f>ROUND('01_Raw_Inputs'!D13,4)</f>
        <v>0</v>
      </c>
      <c r="E11">
        <f>ROUND('01_Raw_Inputs'!E13,4)</f>
        <v>0</v>
      </c>
      <c r="F11">
        <f>ROUND('01_Raw_Inputs'!F13,4)</f>
        <v>0</v>
      </c>
      <c r="G11">
        <f>ROUND('01_Raw_Inputs'!G13*'02_Parameters'!$B$7,4)</f>
        <v>390.76710000000003</v>
      </c>
      <c r="H11">
        <f>ROUND('01_Raw_Inputs'!H13,4)</f>
        <v>0</v>
      </c>
      <c r="I11">
        <f>ROUND('01_Raw_Inputs'!I13,4)</f>
        <v>0</v>
      </c>
      <c r="J11">
        <f>ROUND('01_Raw_Inputs'!J13,4)</f>
        <v>0</v>
      </c>
      <c r="K11">
        <f>ROUND('01_Raw_Inputs'!K13,4)</f>
        <v>0</v>
      </c>
      <c r="L11">
        <f>ROUND('01_Raw_Inputs'!L13,4)</f>
        <v>0</v>
      </c>
      <c r="M11">
        <f>ROUND('01_Raw_Inputs'!M13,4)</f>
        <v>0</v>
      </c>
      <c r="O11" s="1"/>
    </row>
    <row r="12" spans="1:17" x14ac:dyDescent="0.2">
      <c r="A12" t="str">
        <f>'01_Raw_Inputs'!A14</f>
        <v>dam</v>
      </c>
      <c r="B12">
        <f>'01_Raw_Inputs'!B14</f>
        <v>2035</v>
      </c>
      <c r="C12">
        <f>ROUND('01_Raw_Inputs'!C14,4)</f>
        <v>1</v>
      </c>
      <c r="D12">
        <f>ROUND('01_Raw_Inputs'!D14,4)</f>
        <v>1</v>
      </c>
      <c r="E12">
        <f>ROUND('01_Raw_Inputs'!E14,4)</f>
        <v>0</v>
      </c>
      <c r="F12">
        <f>ROUND('01_Raw_Inputs'!F14,4)</f>
        <v>0</v>
      </c>
      <c r="G12">
        <f>ROUND('01_Raw_Inputs'!G14,4)</f>
        <v>0</v>
      </c>
      <c r="H12">
        <f>ROUND('01_Raw_Inputs'!H14,4)</f>
        <v>0</v>
      </c>
      <c r="I12">
        <f>ROUND('01_Raw_Inputs'!I14,4)</f>
        <v>0</v>
      </c>
      <c r="J12">
        <f>ROUND('01_Raw_Inputs'!J14,4)</f>
        <v>0</v>
      </c>
      <c r="K12">
        <f>ROUND('01_Raw_Inputs'!K14,4)</f>
        <v>0</v>
      </c>
      <c r="L12">
        <f>ROUND('01_Raw_Inputs'!L14,4)</f>
        <v>0</v>
      </c>
      <c r="M12">
        <f>ROUND('01_Raw_Inputs'!M14,4)</f>
        <v>0</v>
      </c>
    </row>
    <row r="13" spans="1:17" x14ac:dyDescent="0.2">
      <c r="A13" t="str">
        <f>'01_Raw_Inputs'!A15</f>
        <v>dam</v>
      </c>
      <c r="B13">
        <f>'01_Raw_Inputs'!B15</f>
        <v>2050</v>
      </c>
      <c r="C13">
        <f>ROUND('01_Raw_Inputs'!C15,4)</f>
        <v>1</v>
      </c>
      <c r="D13">
        <f>ROUND('01_Raw_Inputs'!D15,4)</f>
        <v>1</v>
      </c>
      <c r="E13">
        <f>ROUND('01_Raw_Inputs'!E15,4)</f>
        <v>0</v>
      </c>
      <c r="F13">
        <f>ROUND('01_Raw_Inputs'!F15,4)</f>
        <v>0</v>
      </c>
      <c r="G13">
        <f>ROUND('01_Raw_Inputs'!G15,4)</f>
        <v>0</v>
      </c>
      <c r="H13">
        <f>ROUND('01_Raw_Inputs'!H15,4)</f>
        <v>0</v>
      </c>
      <c r="I13">
        <f>ROUND('01_Raw_Inputs'!I15,4)</f>
        <v>0</v>
      </c>
      <c r="J13">
        <f>ROUND('01_Raw_Inputs'!J15,4)</f>
        <v>0</v>
      </c>
      <c r="K13">
        <f>ROUND('01_Raw_Inputs'!K15,4)</f>
        <v>0</v>
      </c>
      <c r="L13">
        <f>ROUND('01_Raw_Inputs'!L15,4)</f>
        <v>0</v>
      </c>
      <c r="M13">
        <f>ROUND('01_Raw_Inputs'!M15,4)</f>
        <v>0</v>
      </c>
    </row>
    <row r="14" spans="1:17" x14ac:dyDescent="0.2">
      <c r="A14" t="str">
        <f>'01_Raw_Inputs'!A16</f>
        <v>dsr</v>
      </c>
      <c r="B14">
        <f>'01_Raw_Inputs'!B16</f>
        <v>2035</v>
      </c>
      <c r="C14">
        <f>ROUND('01_Raw_Inputs'!C16,4)</f>
        <v>1</v>
      </c>
      <c r="D14">
        <f>ROUND('01_Raw_Inputs'!D16,4)</f>
        <v>0</v>
      </c>
      <c r="E14">
        <f>ROUND('01_Raw_Inputs'!E16,4)</f>
        <v>0</v>
      </c>
      <c r="F14">
        <f>ROUND('01_Raw_Inputs'!F16,4)</f>
        <v>0</v>
      </c>
      <c r="G14">
        <f>ROUND('01_Raw_Inputs'!G16,4)</f>
        <v>0</v>
      </c>
      <c r="H14">
        <f>ROUND('01_Raw_Inputs'!H16,4)</f>
        <v>0</v>
      </c>
      <c r="I14">
        <f>ROUND('01_Raw_Inputs'!I16,4)</f>
        <v>0</v>
      </c>
      <c r="J14">
        <f>ROUND('01_Raw_Inputs'!J16,4)</f>
        <v>0</v>
      </c>
      <c r="K14">
        <f>ROUND('01_Raw_Inputs'!K16,4)</f>
        <v>0</v>
      </c>
      <c r="L14">
        <f>ROUND('01_Raw_Inputs'!L16,4)</f>
        <v>0.1</v>
      </c>
      <c r="M14">
        <f>ROUND('01_Raw_Inputs'!M16,4)</f>
        <v>0</v>
      </c>
    </row>
    <row r="15" spans="1:17" x14ac:dyDescent="0.2">
      <c r="A15" t="str">
        <f>'01_Raw_Inputs'!A17</f>
        <v>dsr</v>
      </c>
      <c r="B15">
        <f>'01_Raw_Inputs'!B17</f>
        <v>2050</v>
      </c>
      <c r="C15">
        <f>ROUND('01_Raw_Inputs'!C17,4)</f>
        <v>1</v>
      </c>
      <c r="D15">
        <f>ROUND('01_Raw_Inputs'!D17,4)</f>
        <v>0</v>
      </c>
      <c r="E15">
        <f>ROUND('01_Raw_Inputs'!E17,4)</f>
        <v>0</v>
      </c>
      <c r="F15">
        <f>ROUND('01_Raw_Inputs'!F17,4)</f>
        <v>0</v>
      </c>
      <c r="G15">
        <f>ROUND('01_Raw_Inputs'!G17,4)</f>
        <v>0</v>
      </c>
      <c r="H15">
        <f>ROUND('01_Raw_Inputs'!H17,4)</f>
        <v>0</v>
      </c>
      <c r="I15">
        <f>ROUND('01_Raw_Inputs'!I17,4)</f>
        <v>0</v>
      </c>
      <c r="J15">
        <f>ROUND('01_Raw_Inputs'!J17,4)</f>
        <v>0</v>
      </c>
      <c r="K15">
        <f>ROUND('01_Raw_Inputs'!K17,4)</f>
        <v>0</v>
      </c>
      <c r="L15">
        <f>ROUND('01_Raw_Inputs'!L17,4)</f>
        <v>0.1</v>
      </c>
      <c r="M15">
        <f>ROUND('01_Raw_Inputs'!M17,4)</f>
        <v>0</v>
      </c>
    </row>
    <row r="16" spans="1:17" x14ac:dyDescent="0.2">
      <c r="A16" t="str">
        <f>'01_Raw_Inputs'!A18</f>
        <v>dsrTh</v>
      </c>
      <c r="B16">
        <f>'01_Raw_Inputs'!B18</f>
        <v>2035</v>
      </c>
      <c r="C16">
        <f>ROUND('01_Raw_Inputs'!C18,4)</f>
        <v>1</v>
      </c>
      <c r="D16">
        <f>ROUND('01_Raw_Inputs'!D18,4)</f>
        <v>0</v>
      </c>
      <c r="E16">
        <f>ROUND('01_Raw_Inputs'!E18,4)</f>
        <v>0</v>
      </c>
      <c r="F16">
        <f>ROUND('01_Raw_Inputs'!F18,4)</f>
        <v>0</v>
      </c>
      <c r="G16">
        <f>ROUND('01_Raw_Inputs'!G18,4)</f>
        <v>0</v>
      </c>
      <c r="H16">
        <f>ROUND('01_Raw_Inputs'!H18,4)</f>
        <v>0</v>
      </c>
      <c r="I16">
        <f>ROUND('01_Raw_Inputs'!I18,4)</f>
        <v>0</v>
      </c>
      <c r="J16">
        <f>ROUND('01_Raw_Inputs'!J18,4)</f>
        <v>0</v>
      </c>
      <c r="K16">
        <f>ROUND('01_Raw_Inputs'!K18,4)</f>
        <v>0</v>
      </c>
      <c r="L16">
        <f>ROUND('01_Raw_Inputs'!L18,4)</f>
        <v>0.1</v>
      </c>
      <c r="M16">
        <f>ROUND('01_Raw_Inputs'!M18,4)</f>
        <v>0</v>
      </c>
    </row>
    <row r="17" spans="1:15" x14ac:dyDescent="0.2">
      <c r="A17" t="str">
        <f>'01_Raw_Inputs'!A19</f>
        <v>dsrTh</v>
      </c>
      <c r="B17">
        <f>'01_Raw_Inputs'!B19</f>
        <v>2050</v>
      </c>
      <c r="C17">
        <f>ROUND('01_Raw_Inputs'!C19,4)</f>
        <v>1</v>
      </c>
      <c r="D17">
        <f>ROUND('01_Raw_Inputs'!D19,4)</f>
        <v>0</v>
      </c>
      <c r="E17">
        <f>ROUND('01_Raw_Inputs'!E19,4)</f>
        <v>0</v>
      </c>
      <c r="F17">
        <f>ROUND('01_Raw_Inputs'!F19,4)</f>
        <v>0</v>
      </c>
      <c r="G17">
        <f>ROUND('01_Raw_Inputs'!G19,4)</f>
        <v>0</v>
      </c>
      <c r="H17">
        <f>ROUND('01_Raw_Inputs'!H19,4)</f>
        <v>0</v>
      </c>
      <c r="I17">
        <f>ROUND('01_Raw_Inputs'!I19,4)</f>
        <v>0</v>
      </c>
      <c r="J17">
        <f>ROUND('01_Raw_Inputs'!J19,4)</f>
        <v>0</v>
      </c>
      <c r="K17">
        <f>ROUND('01_Raw_Inputs'!K19,4)</f>
        <v>0</v>
      </c>
      <c r="L17">
        <f>ROUND('01_Raw_Inputs'!L19,4)</f>
        <v>0.1</v>
      </c>
      <c r="M17">
        <f>ROUND('01_Raw_Inputs'!M19,4)</f>
        <v>0</v>
      </c>
    </row>
    <row r="18" spans="1:15" x14ac:dyDescent="0.2">
      <c r="A18" t="str">
        <f>'01_Raw_Inputs'!A20</f>
        <v>electrolyzer</v>
      </c>
      <c r="B18">
        <f>'01_Raw_Inputs'!B20</f>
        <v>2035</v>
      </c>
      <c r="C18">
        <f>ROUND('01_Raw_Inputs'!C20,4)</f>
        <v>1</v>
      </c>
      <c r="D18">
        <f>ROUND('01_Raw_Inputs'!D20,4)</f>
        <v>0</v>
      </c>
      <c r="E18">
        <f>ROUND('01_Raw_Inputs'!E20,4)</f>
        <v>0</v>
      </c>
      <c r="F18">
        <f>ROUND('01_Raw_Inputs'!F20,4)</f>
        <v>0</v>
      </c>
      <c r="G18">
        <f>ROUND('01_Raw_Inputs'!G20,4)</f>
        <v>0</v>
      </c>
      <c r="H18">
        <f>ROUND('01_Raw_Inputs'!H20,4)</f>
        <v>0</v>
      </c>
      <c r="I18">
        <f>ROUND('01_Raw_Inputs'!I20,4)</f>
        <v>0</v>
      </c>
      <c r="J18">
        <f>ROUND('01_Raw_Inputs'!J20,4)</f>
        <v>0</v>
      </c>
      <c r="K18">
        <f>ROUND('01_Raw_Inputs'!K20,4)</f>
        <v>0</v>
      </c>
      <c r="L18">
        <f>ROUND('01_Raw_Inputs'!L20,4)</f>
        <v>0</v>
      </c>
      <c r="M18">
        <f>ROUND('01_Raw_Inputs'!M20,4)</f>
        <v>0</v>
      </c>
    </row>
    <row r="19" spans="1:15" x14ac:dyDescent="0.2">
      <c r="A19" t="str">
        <f>'01_Raw_Inputs'!A21</f>
        <v>electrolyzer</v>
      </c>
      <c r="B19">
        <f>'01_Raw_Inputs'!B21</f>
        <v>2050</v>
      </c>
      <c r="C19">
        <f>ROUND('01_Raw_Inputs'!C21,4)</f>
        <v>1</v>
      </c>
      <c r="D19">
        <f>ROUND('01_Raw_Inputs'!D21,4)</f>
        <v>0</v>
      </c>
      <c r="E19">
        <f>ROUND('01_Raw_Inputs'!E21,4)</f>
        <v>0</v>
      </c>
      <c r="F19">
        <f>ROUND('01_Raw_Inputs'!F21,4)</f>
        <v>0</v>
      </c>
      <c r="G19">
        <f>ROUND('01_Raw_Inputs'!G21,4)</f>
        <v>0</v>
      </c>
      <c r="H19">
        <f>ROUND('01_Raw_Inputs'!H21,4)</f>
        <v>0</v>
      </c>
      <c r="I19">
        <f>ROUND('01_Raw_Inputs'!I21,4)</f>
        <v>0</v>
      </c>
      <c r="J19">
        <f>ROUND('01_Raw_Inputs'!J21,4)</f>
        <v>0</v>
      </c>
      <c r="K19">
        <f>ROUND('01_Raw_Inputs'!K21,4)</f>
        <v>0</v>
      </c>
      <c r="L19">
        <f>ROUND('01_Raw_Inputs'!L21,4)</f>
        <v>0</v>
      </c>
      <c r="M19">
        <f>ROUND('01_Raw_Inputs'!M21,4)</f>
        <v>0</v>
      </c>
    </row>
    <row r="20" spans="1:15" x14ac:dyDescent="0.2">
      <c r="A20" t="str">
        <f>'01_Raw_Inputs'!A22</f>
        <v>ev_flex</v>
      </c>
      <c r="B20">
        <f>'01_Raw_Inputs'!B22</f>
        <v>2035</v>
      </c>
      <c r="C20">
        <f>ROUND('01_Raw_Inputs'!C22,4)</f>
        <v>1</v>
      </c>
      <c r="D20">
        <f>ROUND('01_Raw_Inputs'!D22,4)</f>
        <v>0</v>
      </c>
      <c r="E20">
        <f>ROUND('01_Raw_Inputs'!E22,4)</f>
        <v>0</v>
      </c>
      <c r="F20">
        <f>ROUND('01_Raw_Inputs'!F22,4)</f>
        <v>0</v>
      </c>
      <c r="G20">
        <f>ROUND('01_Raw_Inputs'!G22,4)</f>
        <v>0</v>
      </c>
      <c r="H20">
        <f>ROUND('01_Raw_Inputs'!H22,4)</f>
        <v>0</v>
      </c>
      <c r="I20">
        <f>ROUND('01_Raw_Inputs'!I22,4)</f>
        <v>0</v>
      </c>
      <c r="J20">
        <f>ROUND('01_Raw_Inputs'!J22,4)</f>
        <v>0</v>
      </c>
      <c r="K20">
        <f>ROUND('01_Raw_Inputs'!K22,4)</f>
        <v>0</v>
      </c>
      <c r="L20">
        <f>ROUND('01_Raw_Inputs'!L22,4)</f>
        <v>0</v>
      </c>
      <c r="M20">
        <f>ROUND('01_Raw_Inputs'!M22,4)</f>
        <v>0</v>
      </c>
    </row>
    <row r="21" spans="1:15" x14ac:dyDescent="0.2">
      <c r="A21" t="str">
        <f>'01_Raw_Inputs'!A23</f>
        <v>ev_flex</v>
      </c>
      <c r="B21">
        <f>'01_Raw_Inputs'!B23</f>
        <v>2050</v>
      </c>
      <c r="C21">
        <f>ROUND('01_Raw_Inputs'!C23,4)</f>
        <v>1</v>
      </c>
      <c r="D21">
        <f>ROUND('01_Raw_Inputs'!D23,4)</f>
        <v>0</v>
      </c>
      <c r="E21">
        <f>ROUND('01_Raw_Inputs'!E23,4)</f>
        <v>0</v>
      </c>
      <c r="F21">
        <f>ROUND('01_Raw_Inputs'!F23,4)</f>
        <v>0</v>
      </c>
      <c r="G21">
        <f>ROUND('01_Raw_Inputs'!G23,4)</f>
        <v>0</v>
      </c>
      <c r="H21">
        <f>ROUND('01_Raw_Inputs'!H23,4)</f>
        <v>0</v>
      </c>
      <c r="I21">
        <f>ROUND('01_Raw_Inputs'!I23,4)</f>
        <v>0</v>
      </c>
      <c r="J21">
        <f>ROUND('01_Raw_Inputs'!J23,4)</f>
        <v>0</v>
      </c>
      <c r="K21">
        <f>ROUND('01_Raw_Inputs'!K23,4)</f>
        <v>0</v>
      </c>
      <c r="L21">
        <f>ROUND('01_Raw_Inputs'!L23,4)</f>
        <v>0</v>
      </c>
      <c r="M21">
        <f>ROUND('01_Raw_Inputs'!M23,4)</f>
        <v>0</v>
      </c>
    </row>
    <row r="22" spans="1:15" x14ac:dyDescent="0.2">
      <c r="A22" t="str">
        <f>'01_Raw_Inputs'!A24</f>
        <v>fossilmethane</v>
      </c>
      <c r="B22">
        <f>'01_Raw_Inputs'!B24</f>
        <v>2035</v>
      </c>
      <c r="C22">
        <f>ROUND('01_Raw_Inputs'!C24,4)</f>
        <v>0</v>
      </c>
      <c r="D22">
        <f>ROUND('01_Raw_Inputs'!D24,4)</f>
        <v>0</v>
      </c>
      <c r="E22">
        <f>ROUND('01_Raw_Inputs'!E24,4)</f>
        <v>0</v>
      </c>
      <c r="F22">
        <f>ROUND('01_Raw_Inputs'!F24,4)</f>
        <v>0</v>
      </c>
      <c r="G22">
        <f>ROUND('01_Raw_Inputs'!G24,4)</f>
        <v>0</v>
      </c>
      <c r="H22">
        <f>ROUND('01_Raw_Inputs'!H24,4)</f>
        <v>0</v>
      </c>
      <c r="I22">
        <f>ROUND('01_Raw_Inputs'!I24,4)</f>
        <v>0</v>
      </c>
      <c r="J22">
        <f>ROUND('01_Raw_Inputs'!J24,4)</f>
        <v>0</v>
      </c>
      <c r="K22">
        <f>ROUND('01_Raw_Inputs'!K24*'02_Parameters'!$B$10,4)</f>
        <v>285.471</v>
      </c>
      <c r="L22">
        <f>ROUND('01_Raw_Inputs'!L24,4)</f>
        <v>0</v>
      </c>
      <c r="M22">
        <f>ROUND('01_Raw_Inputs'!M24,4)</f>
        <v>0</v>
      </c>
    </row>
    <row r="23" spans="1:15" x14ac:dyDescent="0.2">
      <c r="A23" t="str">
        <f>'01_Raw_Inputs'!A25</f>
        <v>fossilmethane</v>
      </c>
      <c r="B23">
        <f>'01_Raw_Inputs'!B25</f>
        <v>2050</v>
      </c>
      <c r="C23">
        <f>ROUND('01_Raw_Inputs'!C25,4)</f>
        <v>0</v>
      </c>
      <c r="D23">
        <f>ROUND('01_Raw_Inputs'!D25,4)</f>
        <v>0</v>
      </c>
      <c r="E23">
        <f>ROUND('01_Raw_Inputs'!E25,4)</f>
        <v>0</v>
      </c>
      <c r="F23">
        <f>ROUND('01_Raw_Inputs'!F25,4)</f>
        <v>0</v>
      </c>
      <c r="G23">
        <f>ROUND('01_Raw_Inputs'!G25,4)</f>
        <v>0</v>
      </c>
      <c r="H23">
        <f>ROUND('01_Raw_Inputs'!H25,4)</f>
        <v>0</v>
      </c>
      <c r="I23">
        <f>ROUND('01_Raw_Inputs'!I25,4)</f>
        <v>0</v>
      </c>
      <c r="J23">
        <f>ROUND('01_Raw_Inputs'!J25,4)</f>
        <v>0</v>
      </c>
      <c r="K23">
        <f>ROUND('01_Raw_Inputs'!K25*'02_Parameters'!$B$10,4)</f>
        <v>285.471</v>
      </c>
      <c r="L23">
        <f>ROUND('01_Raw_Inputs'!L25,4)</f>
        <v>0</v>
      </c>
      <c r="M23">
        <f>ROUND('01_Raw_Inputs'!M25,4)</f>
        <v>0</v>
      </c>
    </row>
    <row r="24" spans="1:15" x14ac:dyDescent="0.2">
      <c r="A24" t="str">
        <f>'01_Raw_Inputs'!A26</f>
        <v>gas</v>
      </c>
      <c r="B24">
        <f>'01_Raw_Inputs'!B26</f>
        <v>2035</v>
      </c>
      <c r="C24">
        <f>ROUND('01_Raw_Inputs'!C26,4)</f>
        <v>0.42499999999999999</v>
      </c>
      <c r="D24">
        <f>ROUND('01_Raw_Inputs'!D26,4)</f>
        <v>0</v>
      </c>
      <c r="E24">
        <f>ROUND('01_Raw_Inputs'!E26,4)</f>
        <v>2.01E-2</v>
      </c>
      <c r="F24">
        <f>ROUND('01_Raw_Inputs'!F26,4)</f>
        <v>0</v>
      </c>
      <c r="G24">
        <f>ROUND('01_Raw_Inputs'!G26*'02_Parameters'!$B$7,4)</f>
        <v>25.591799999999999</v>
      </c>
      <c r="H24">
        <f>ROUND('01_Raw_Inputs'!H26,4)</f>
        <v>0</v>
      </c>
      <c r="I24">
        <f>ROUND('01_Raw_Inputs'!I26,4)</f>
        <v>0</v>
      </c>
      <c r="J24">
        <f>ROUND('01_Raw_Inputs'!J26,4)</f>
        <v>0</v>
      </c>
      <c r="K24">
        <f>ROUND('01_Raw_Inputs'!K26,4)</f>
        <v>0</v>
      </c>
      <c r="L24">
        <f>ROUND('01_Raw_Inputs'!L26,4)</f>
        <v>5.15</v>
      </c>
      <c r="M24">
        <f>ROUND('01_Raw_Inputs'!M26,4)</f>
        <v>0</v>
      </c>
      <c r="O24" s="1"/>
    </row>
    <row r="25" spans="1:15" x14ac:dyDescent="0.2">
      <c r="A25" t="str">
        <f>'01_Raw_Inputs'!A27</f>
        <v>gas</v>
      </c>
      <c r="B25">
        <f>'01_Raw_Inputs'!B27</f>
        <v>2050</v>
      </c>
      <c r="C25">
        <f>ROUND('01_Raw_Inputs'!C27,4)</f>
        <v>0.42499999999999999</v>
      </c>
      <c r="D25">
        <f>ROUND('01_Raw_Inputs'!D27,4)</f>
        <v>0</v>
      </c>
      <c r="E25">
        <f>ROUND('01_Raw_Inputs'!E27,4)</f>
        <v>2.01E-2</v>
      </c>
      <c r="F25">
        <f>ROUND('01_Raw_Inputs'!F27,4)</f>
        <v>0</v>
      </c>
      <c r="G25">
        <f>ROUND('01_Raw_Inputs'!G27*'02_Parameters'!$B$7,4)</f>
        <v>17.717400000000001</v>
      </c>
      <c r="H25">
        <f>ROUND('01_Raw_Inputs'!H27,4)</f>
        <v>0</v>
      </c>
      <c r="I25">
        <f>ROUND('01_Raw_Inputs'!I27,4)</f>
        <v>0</v>
      </c>
      <c r="J25">
        <f>ROUND('01_Raw_Inputs'!J27,4)</f>
        <v>0</v>
      </c>
      <c r="K25">
        <f>ROUND('01_Raw_Inputs'!K27,4)</f>
        <v>0</v>
      </c>
      <c r="L25">
        <f>ROUND('01_Raw_Inputs'!L27,4)</f>
        <v>5.15</v>
      </c>
      <c r="M25">
        <f>ROUND('01_Raw_Inputs'!M27,4)</f>
        <v>0</v>
      </c>
      <c r="O25" s="1"/>
    </row>
    <row r="26" spans="1:15" x14ac:dyDescent="0.2">
      <c r="A26" t="str">
        <f>'01_Raw_Inputs'!A28</f>
        <v>gas_boiler</v>
      </c>
      <c r="B26">
        <f>'01_Raw_Inputs'!B28</f>
        <v>2035</v>
      </c>
      <c r="C26">
        <f>ROUND('01_Raw_Inputs'!C28,4)</f>
        <v>0.92700000000000005</v>
      </c>
      <c r="D26">
        <f>ROUND('01_Raw_Inputs'!D28,4)</f>
        <v>0</v>
      </c>
      <c r="E26">
        <f>ROUND('01_Raw_Inputs'!E28,4)</f>
        <v>0.20119999999999999</v>
      </c>
      <c r="F26">
        <f>ROUND('01_Raw_Inputs'!F28*'02_Parameters'!$B$5,4)</f>
        <v>10379.586499999999</v>
      </c>
      <c r="G26">
        <f>ROUND('01_Raw_Inputs'!G28*'02_Parameters'!$B$7,4)</f>
        <v>25.591799999999999</v>
      </c>
      <c r="H26">
        <f>ROUND('01_Raw_Inputs'!H28*'02_Parameters'!$B$5,4)</f>
        <v>191002.182</v>
      </c>
      <c r="I26">
        <f>ROUND('01_Raw_Inputs'!I28,4)</f>
        <v>0</v>
      </c>
      <c r="J26">
        <f>ROUND('01_Raw_Inputs'!J28,4)</f>
        <v>0</v>
      </c>
      <c r="K26">
        <f>ROUND('01_Raw_Inputs'!K28,4)</f>
        <v>0</v>
      </c>
      <c r="L26">
        <f>ROUND('01_Raw_Inputs'!L28,4)</f>
        <v>0</v>
      </c>
      <c r="M26">
        <f>ROUND('01_Raw_Inputs'!M28,4)</f>
        <v>20</v>
      </c>
    </row>
    <row r="27" spans="1:15" x14ac:dyDescent="0.2">
      <c r="A27" t="str">
        <f>'01_Raw_Inputs'!A29</f>
        <v>gas_boiler</v>
      </c>
      <c r="B27">
        <f>'01_Raw_Inputs'!B29</f>
        <v>2050</v>
      </c>
      <c r="C27">
        <f>ROUND('01_Raw_Inputs'!C29,4)</f>
        <v>0.92700000000000005</v>
      </c>
      <c r="D27">
        <f>ROUND('01_Raw_Inputs'!D29,4)</f>
        <v>0</v>
      </c>
      <c r="E27">
        <f>ROUND('01_Raw_Inputs'!E29,4)</f>
        <v>0.20119999999999999</v>
      </c>
      <c r="F27">
        <f>ROUND('01_Raw_Inputs'!F29*'02_Parameters'!$B$5,4)</f>
        <v>10379.586499999999</v>
      </c>
      <c r="G27">
        <f>ROUND('01_Raw_Inputs'!G29*'02_Parameters'!$B$7,4)</f>
        <v>17.717400000000001</v>
      </c>
      <c r="H27">
        <f>ROUND('01_Raw_Inputs'!H29*'02_Parameters'!$B$5,4)</f>
        <v>191002.182</v>
      </c>
      <c r="I27">
        <f>ROUND('01_Raw_Inputs'!I29,4)</f>
        <v>0</v>
      </c>
      <c r="J27">
        <f>ROUND('01_Raw_Inputs'!J29,4)</f>
        <v>0</v>
      </c>
      <c r="K27">
        <f>ROUND('01_Raw_Inputs'!K29,4)</f>
        <v>0</v>
      </c>
      <c r="L27">
        <f>ROUND('01_Raw_Inputs'!L29,4)</f>
        <v>0</v>
      </c>
      <c r="M27">
        <f>ROUND('01_Raw_Inputs'!M29,4)</f>
        <v>20</v>
      </c>
    </row>
    <row r="28" spans="1:15" x14ac:dyDescent="0.2">
      <c r="A28" t="str">
        <f>'01_Raw_Inputs'!A30</f>
        <v>hardcoal</v>
      </c>
      <c r="B28">
        <f>'01_Raw_Inputs'!B30</f>
        <v>2035</v>
      </c>
      <c r="C28">
        <f>ROUND('01_Raw_Inputs'!C30,4)</f>
        <v>0.46</v>
      </c>
      <c r="D28">
        <f>ROUND('01_Raw_Inputs'!D30,4)</f>
        <v>0</v>
      </c>
      <c r="E28">
        <f>ROUND('01_Raw_Inputs'!E30,4)</f>
        <v>0.3337</v>
      </c>
      <c r="F28">
        <f>ROUND('01_Raw_Inputs'!F30,4)</f>
        <v>0</v>
      </c>
      <c r="G28">
        <f>ROUND('01_Raw_Inputs'!G30*'02_Parameters'!$B$7,4)</f>
        <v>8.8587000000000007</v>
      </c>
      <c r="H28">
        <f>ROUND('01_Raw_Inputs'!H30,4)</f>
        <v>0</v>
      </c>
      <c r="I28">
        <f>ROUND('01_Raw_Inputs'!I30,4)</f>
        <v>0</v>
      </c>
      <c r="J28">
        <f>ROUND('01_Raw_Inputs'!J30,4)</f>
        <v>0</v>
      </c>
      <c r="K28">
        <f>ROUND('01_Raw_Inputs'!K30,4)</f>
        <v>0</v>
      </c>
      <c r="L28">
        <f>ROUND('01_Raw_Inputs'!L30*'02_Parameters'!$B$9,4)</f>
        <v>15.7517</v>
      </c>
      <c r="M28">
        <f>ROUND('01_Raw_Inputs'!M30,4)</f>
        <v>0</v>
      </c>
      <c r="O28" s="1"/>
    </row>
    <row r="29" spans="1:15" x14ac:dyDescent="0.2">
      <c r="A29" t="str">
        <f>'01_Raw_Inputs'!A31</f>
        <v>hardcoal</v>
      </c>
      <c r="B29">
        <f>'01_Raw_Inputs'!B31</f>
        <v>2050</v>
      </c>
      <c r="C29">
        <f>ROUND('01_Raw_Inputs'!C31,4)</f>
        <v>0.46</v>
      </c>
      <c r="D29">
        <f>ROUND('01_Raw_Inputs'!D31,4)</f>
        <v>0</v>
      </c>
      <c r="E29">
        <f>ROUND('01_Raw_Inputs'!E31,4)</f>
        <v>0.3337</v>
      </c>
      <c r="F29">
        <f>ROUND('01_Raw_Inputs'!F31,4)</f>
        <v>0</v>
      </c>
      <c r="G29">
        <f>ROUND('01_Raw_Inputs'!G31*'02_Parameters'!$B$7,4)</f>
        <v>5.9058000000000002</v>
      </c>
      <c r="H29">
        <f>ROUND('01_Raw_Inputs'!H31,4)</f>
        <v>0</v>
      </c>
      <c r="I29">
        <f>ROUND('01_Raw_Inputs'!I31,4)</f>
        <v>0</v>
      </c>
      <c r="J29">
        <f>ROUND('01_Raw_Inputs'!J31,4)</f>
        <v>0</v>
      </c>
      <c r="K29">
        <f>ROUND('01_Raw_Inputs'!K31,4)</f>
        <v>0</v>
      </c>
      <c r="L29">
        <f>ROUND('01_Raw_Inputs'!L31*'02_Parameters'!$B$9,4)</f>
        <v>15.7517</v>
      </c>
      <c r="M29">
        <f>ROUND('01_Raw_Inputs'!M31,4)</f>
        <v>0</v>
      </c>
      <c r="O29" s="1"/>
    </row>
    <row r="30" spans="1:15" x14ac:dyDescent="0.2">
      <c r="A30" t="str">
        <f>'01_Raw_Inputs'!A32</f>
        <v>heat_pump</v>
      </c>
      <c r="B30">
        <f>'01_Raw_Inputs'!B32</f>
        <v>2035</v>
      </c>
      <c r="C30">
        <f>ROUND('01_Raw_Inputs'!C32,4)</f>
        <v>1</v>
      </c>
      <c r="D30">
        <f>ROUND('01_Raw_Inputs'!D32,4)</f>
        <v>0</v>
      </c>
      <c r="E30">
        <f>ROUND('01_Raw_Inputs'!E32,4)</f>
        <v>0</v>
      </c>
      <c r="F30">
        <f>ROUND('01_Raw_Inputs'!F32*'02_Parameters'!$B$5,4)</f>
        <v>23448.859100000001</v>
      </c>
      <c r="G30">
        <f>ROUND('01_Raw_Inputs'!G32,4)</f>
        <v>0</v>
      </c>
      <c r="H30">
        <f>ROUND('01_Raw_Inputs'!H32*'02_Parameters'!$B$5,4)</f>
        <v>780776.18</v>
      </c>
      <c r="I30">
        <f>ROUND('01_Raw_Inputs'!I32,4)</f>
        <v>0</v>
      </c>
      <c r="J30">
        <f>ROUND('01_Raw_Inputs'!J32,4)</f>
        <v>0</v>
      </c>
      <c r="K30">
        <f>ROUND('01_Raw_Inputs'!K32,4)</f>
        <v>0</v>
      </c>
      <c r="L30">
        <f>ROUND('01_Raw_Inputs'!L32,4)</f>
        <v>0.1</v>
      </c>
      <c r="M30">
        <f>ROUND('01_Raw_Inputs'!M32,4)</f>
        <v>20</v>
      </c>
      <c r="O30" s="1"/>
    </row>
    <row r="31" spans="1:15" x14ac:dyDescent="0.2">
      <c r="A31" t="str">
        <f>'01_Raw_Inputs'!A33</f>
        <v>heat_pump</v>
      </c>
      <c r="B31">
        <f>'01_Raw_Inputs'!B33</f>
        <v>2050</v>
      </c>
      <c r="C31">
        <f>ROUND('01_Raw_Inputs'!C33,4)</f>
        <v>1</v>
      </c>
      <c r="D31">
        <f>ROUND('01_Raw_Inputs'!D33,4)</f>
        <v>0</v>
      </c>
      <c r="E31">
        <f>ROUND('01_Raw_Inputs'!E33,4)</f>
        <v>0</v>
      </c>
      <c r="F31">
        <f>ROUND('01_Raw_Inputs'!F33*'02_Parameters'!$B$5,4)</f>
        <v>23448.859100000001</v>
      </c>
      <c r="G31">
        <f>ROUND('01_Raw_Inputs'!G33,4)</f>
        <v>0</v>
      </c>
      <c r="H31">
        <f>ROUND('01_Raw_Inputs'!H33*'02_Parameters'!$B$5,4)</f>
        <v>780776.18</v>
      </c>
      <c r="I31">
        <f>ROUND('01_Raw_Inputs'!I33,4)</f>
        <v>0</v>
      </c>
      <c r="J31">
        <f>ROUND('01_Raw_Inputs'!J33,4)</f>
        <v>0</v>
      </c>
      <c r="K31">
        <f>ROUND('01_Raw_Inputs'!K33,4)</f>
        <v>0</v>
      </c>
      <c r="L31">
        <f>ROUND('01_Raw_Inputs'!L33,4)</f>
        <v>0.1</v>
      </c>
      <c r="M31">
        <f>ROUND('01_Raw_Inputs'!M33,4)</f>
        <v>20</v>
      </c>
      <c r="O31" s="1"/>
    </row>
    <row r="32" spans="1:15" x14ac:dyDescent="0.2">
      <c r="A32" t="str">
        <f>'01_Raw_Inputs'!A34</f>
        <v>heat_pump_households</v>
      </c>
      <c r="B32">
        <f>'01_Raw_Inputs'!B34</f>
        <v>2035</v>
      </c>
      <c r="C32">
        <f>ROUND('01_Raw_Inputs'!C34,4)</f>
        <v>1</v>
      </c>
      <c r="D32">
        <f>ROUND('01_Raw_Inputs'!D34,4)</f>
        <v>0</v>
      </c>
      <c r="E32">
        <f>ROUND('01_Raw_Inputs'!E34,4)</f>
        <v>0</v>
      </c>
      <c r="F32">
        <f>ROUND('01_Raw_Inputs'!F34,4)</f>
        <v>0</v>
      </c>
      <c r="G32">
        <f>ROUND('01_Raw_Inputs'!G34,4)</f>
        <v>0</v>
      </c>
      <c r="H32">
        <f>ROUND('01_Raw_Inputs'!H34,4)</f>
        <v>0</v>
      </c>
      <c r="I32">
        <f>ROUND('01_Raw_Inputs'!I34,4)</f>
        <v>0</v>
      </c>
      <c r="J32">
        <f>ROUND('01_Raw_Inputs'!J34,4)</f>
        <v>0</v>
      </c>
      <c r="K32">
        <f>ROUND('01_Raw_Inputs'!K34,4)</f>
        <v>0</v>
      </c>
      <c r="L32">
        <f>ROUND('01_Raw_Inputs'!L34,4)</f>
        <v>0.1</v>
      </c>
      <c r="M32">
        <f>ROUND('01_Raw_Inputs'!M34,4)</f>
        <v>0</v>
      </c>
    </row>
    <row r="33" spans="1:15" x14ac:dyDescent="0.2">
      <c r="A33" t="str">
        <f>'01_Raw_Inputs'!A35</f>
        <v>heat_pump_households</v>
      </c>
      <c r="B33">
        <f>'01_Raw_Inputs'!B35</f>
        <v>2050</v>
      </c>
      <c r="C33">
        <f>ROUND('01_Raw_Inputs'!C35,4)</f>
        <v>1</v>
      </c>
      <c r="D33">
        <f>ROUND('01_Raw_Inputs'!D35,4)</f>
        <v>0</v>
      </c>
      <c r="E33">
        <f>ROUND('01_Raw_Inputs'!E35,4)</f>
        <v>0</v>
      </c>
      <c r="F33">
        <f>ROUND('01_Raw_Inputs'!F35,4)</f>
        <v>0</v>
      </c>
      <c r="G33">
        <f>ROUND('01_Raw_Inputs'!G35,4)</f>
        <v>0</v>
      </c>
      <c r="H33">
        <f>ROUND('01_Raw_Inputs'!H35,4)</f>
        <v>0</v>
      </c>
      <c r="I33">
        <f>ROUND('01_Raw_Inputs'!I35,4)</f>
        <v>0</v>
      </c>
      <c r="J33">
        <f>ROUND('01_Raw_Inputs'!J35,4)</f>
        <v>0</v>
      </c>
      <c r="K33">
        <f>ROUND('01_Raw_Inputs'!K35,4)</f>
        <v>0</v>
      </c>
      <c r="L33">
        <f>ROUND('01_Raw_Inputs'!L35,4)</f>
        <v>0.1</v>
      </c>
      <c r="M33">
        <f>ROUND('01_Raw_Inputs'!M35,4)</f>
        <v>0</v>
      </c>
    </row>
    <row r="34" spans="1:15" x14ac:dyDescent="0.2">
      <c r="A34" t="str">
        <f>'01_Raw_Inputs'!A36</f>
        <v>hydrogen</v>
      </c>
      <c r="B34">
        <f>'01_Raw_Inputs'!B36</f>
        <v>2035</v>
      </c>
      <c r="C34">
        <f>ROUND('01_Raw_Inputs'!C36,4)</f>
        <v>0.53</v>
      </c>
      <c r="D34">
        <f>ROUND('01_Raw_Inputs'!D36,4)</f>
        <v>0.75470000000000004</v>
      </c>
      <c r="E34">
        <f>ROUND('01_Raw_Inputs'!E36,4)</f>
        <v>0</v>
      </c>
      <c r="F34">
        <f>ROUND('01_Raw_Inputs'!F36*'02_Parameters'!$B$5,4)</f>
        <v>15221.911</v>
      </c>
      <c r="G34">
        <f>ROUND('01_Raw_Inputs'!G36,4)</f>
        <v>0</v>
      </c>
      <c r="H34">
        <f>ROUND('01_Raw_Inputs'!H36*'02_Parameters'!$B$5,4)</f>
        <v>796158.20460000006</v>
      </c>
      <c r="I34">
        <f>ROUND('01_Raw_Inputs'!I36*'02_Parameters'!$B$6,4)</f>
        <v>1317794.25</v>
      </c>
      <c r="J34">
        <f>ROUND('01_Raw_Inputs'!J36*'02_Parameters'!$B$10,4)</f>
        <v>1427.355</v>
      </c>
      <c r="K34">
        <f>ROUND('01_Raw_Inputs'!K36,4)</f>
        <v>0</v>
      </c>
      <c r="L34">
        <f>ROUND('01_Raw_Inputs'!L36,4)</f>
        <v>0</v>
      </c>
      <c r="M34">
        <f>ROUND('01_Raw_Inputs'!M36,4)</f>
        <v>15</v>
      </c>
    </row>
    <row r="35" spans="1:15" x14ac:dyDescent="0.2">
      <c r="A35" t="str">
        <f>'01_Raw_Inputs'!A37</f>
        <v>hydrogen</v>
      </c>
      <c r="B35">
        <f>'01_Raw_Inputs'!B37</f>
        <v>2050</v>
      </c>
      <c r="C35">
        <f>ROUND('01_Raw_Inputs'!C37,4)</f>
        <v>0.53</v>
      </c>
      <c r="D35">
        <f>ROUND('01_Raw_Inputs'!D37,4)</f>
        <v>0.75470000000000004</v>
      </c>
      <c r="E35">
        <f>ROUND('01_Raw_Inputs'!E37,4)</f>
        <v>0</v>
      </c>
      <c r="F35">
        <f>ROUND('01_Raw_Inputs'!F37*'02_Parameters'!$B$5,4)</f>
        <v>15221.911</v>
      </c>
      <c r="G35">
        <f>ROUND('01_Raw_Inputs'!G37,4)</f>
        <v>0</v>
      </c>
      <c r="H35">
        <f>ROUND('01_Raw_Inputs'!H37*'02_Parameters'!$B$5,4)</f>
        <v>796158.20460000006</v>
      </c>
      <c r="I35">
        <f>ROUND('01_Raw_Inputs'!I37*'02_Parameters'!$B$6,4)</f>
        <v>989345.7</v>
      </c>
      <c r="J35">
        <f>ROUND('01_Raw_Inputs'!J37*'02_Parameters'!$B$10,4)</f>
        <v>1427.355</v>
      </c>
      <c r="K35">
        <f>ROUND('01_Raw_Inputs'!K37,4)</f>
        <v>0</v>
      </c>
      <c r="L35">
        <f>ROUND('01_Raw_Inputs'!L37,4)</f>
        <v>0</v>
      </c>
      <c r="M35">
        <f>ROUND('01_Raw_Inputs'!M37,4)</f>
        <v>15</v>
      </c>
    </row>
    <row r="36" spans="1:15" x14ac:dyDescent="0.2">
      <c r="A36" t="str">
        <f>'01_Raw_Inputs'!A38</f>
        <v>nuclear</v>
      </c>
      <c r="B36">
        <f>'01_Raw_Inputs'!B38</f>
        <v>2035</v>
      </c>
      <c r="C36">
        <f>ROUND('01_Raw_Inputs'!C38,4)</f>
        <v>0.33</v>
      </c>
      <c r="D36">
        <f>ROUND('01_Raw_Inputs'!D38,4)</f>
        <v>0</v>
      </c>
      <c r="E36">
        <f>ROUND('01_Raw_Inputs'!E38,4)</f>
        <v>0</v>
      </c>
      <c r="F36">
        <f>ROUND('01_Raw_Inputs'!F38,4)</f>
        <v>0</v>
      </c>
      <c r="G36">
        <f>ROUND('01_Raw_Inputs'!G38,4)</f>
        <v>0</v>
      </c>
      <c r="H36">
        <f>ROUND('01_Raw_Inputs'!H38*'02_Parameters'!$B$8*'02_Parameters'!$A$2,4)</f>
        <v>8852802</v>
      </c>
      <c r="I36">
        <f>ROUND('01_Raw_Inputs'!I38,4)</f>
        <v>0</v>
      </c>
      <c r="J36">
        <f>ROUND('01_Raw_Inputs'!J38,4)</f>
        <v>0</v>
      </c>
      <c r="K36">
        <f>ROUND('01_Raw_Inputs'!K38,4)</f>
        <v>0</v>
      </c>
      <c r="L36">
        <f>ROUND('01_Raw_Inputs'!L38*'02_Parameters'!$B$9,4)</f>
        <v>12.3498</v>
      </c>
      <c r="M36">
        <f>ROUND('01_Raw_Inputs'!M38,4)</f>
        <v>50</v>
      </c>
      <c r="O36" s="1"/>
    </row>
    <row r="37" spans="1:15" x14ac:dyDescent="0.2">
      <c r="A37" t="str">
        <f>'01_Raw_Inputs'!A39</f>
        <v>nuclear</v>
      </c>
      <c r="B37">
        <f>'01_Raw_Inputs'!B39</f>
        <v>2050</v>
      </c>
      <c r="C37">
        <f>ROUND('01_Raw_Inputs'!C39,4)</f>
        <v>0.33</v>
      </c>
      <c r="D37">
        <f>ROUND('01_Raw_Inputs'!D39,4)</f>
        <v>0</v>
      </c>
      <c r="E37">
        <f>ROUND('01_Raw_Inputs'!E39,4)</f>
        <v>0</v>
      </c>
      <c r="F37">
        <f>ROUND('01_Raw_Inputs'!F39,4)</f>
        <v>0</v>
      </c>
      <c r="G37">
        <f>ROUND('01_Raw_Inputs'!G39,4)</f>
        <v>0</v>
      </c>
      <c r="H37">
        <f>ROUND('01_Raw_Inputs'!H39*'02_Parameters'!$B$8*'02_Parameters'!$A$2,4)</f>
        <v>8852802</v>
      </c>
      <c r="I37">
        <f>ROUND('01_Raw_Inputs'!I39,4)</f>
        <v>0</v>
      </c>
      <c r="J37">
        <f>ROUND('01_Raw_Inputs'!J39,4)</f>
        <v>0</v>
      </c>
      <c r="K37">
        <f>ROUND('01_Raw_Inputs'!K39,4)</f>
        <v>0</v>
      </c>
      <c r="L37">
        <f>ROUND('01_Raw_Inputs'!L39*'02_Parameters'!$B$9,4)</f>
        <v>12.3498</v>
      </c>
      <c r="M37">
        <f>ROUND('01_Raw_Inputs'!M39,4)</f>
        <v>50</v>
      </c>
      <c r="O37" s="1"/>
    </row>
    <row r="38" spans="1:15" x14ac:dyDescent="0.2">
      <c r="A38" t="str">
        <f>'01_Raw_Inputs'!A40</f>
        <v>oil</v>
      </c>
      <c r="B38">
        <f>'01_Raw_Inputs'!B40</f>
        <v>2035</v>
      </c>
      <c r="C38">
        <f>ROUND('01_Raw_Inputs'!C40,4)</f>
        <v>0.39</v>
      </c>
      <c r="D38">
        <f>ROUND('01_Raw_Inputs'!D40,4)</f>
        <v>0</v>
      </c>
      <c r="E38">
        <f>ROUND('01_Raw_Inputs'!E40,4)</f>
        <v>0.26390000000000002</v>
      </c>
      <c r="F38">
        <f>ROUND('01_Raw_Inputs'!F40,4)</f>
        <v>0</v>
      </c>
      <c r="G38">
        <f>ROUND('01_Raw_Inputs'!G40,4)</f>
        <v>49</v>
      </c>
      <c r="H38">
        <f>ROUND('01_Raw_Inputs'!H40*'02_Parameters'!$B$5,4)</f>
        <v>482520.12400000001</v>
      </c>
      <c r="I38">
        <f>ROUND('01_Raw_Inputs'!I40,4)</f>
        <v>0</v>
      </c>
      <c r="J38">
        <f>ROUND('01_Raw_Inputs'!J40,4)</f>
        <v>0</v>
      </c>
      <c r="K38">
        <f>ROUND('01_Raw_Inputs'!K40,4)</f>
        <v>1.48</v>
      </c>
      <c r="L38">
        <f>ROUND('01_Raw_Inputs'!L40*'02_Parameters'!$B$5,4)</f>
        <v>6.0265000000000004</v>
      </c>
      <c r="M38">
        <f>ROUND('01_Raw_Inputs'!M40,4)</f>
        <v>25</v>
      </c>
      <c r="O38" s="1"/>
    </row>
    <row r="39" spans="1:15" x14ac:dyDescent="0.2">
      <c r="A39" t="str">
        <f>'01_Raw_Inputs'!A41</f>
        <v>oil</v>
      </c>
      <c r="B39">
        <f>'01_Raw_Inputs'!B41</f>
        <v>2050</v>
      </c>
      <c r="C39">
        <f>ROUND('01_Raw_Inputs'!C41,4)</f>
        <v>0.39</v>
      </c>
      <c r="D39">
        <f>ROUND('01_Raw_Inputs'!D41,4)</f>
        <v>0</v>
      </c>
      <c r="E39">
        <f>ROUND('01_Raw_Inputs'!E41,4)</f>
        <v>0.26390000000000002</v>
      </c>
      <c r="F39">
        <f>ROUND('01_Raw_Inputs'!F41,4)</f>
        <v>0</v>
      </c>
      <c r="G39">
        <f>ROUND('01_Raw_Inputs'!G41,4)</f>
        <v>30</v>
      </c>
      <c r="H39">
        <f>ROUND('01_Raw_Inputs'!H41*'02_Parameters'!$B$5,4)</f>
        <v>482520.12400000001</v>
      </c>
      <c r="I39">
        <f>ROUND('01_Raw_Inputs'!I41,4)</f>
        <v>0</v>
      </c>
      <c r="J39">
        <f>ROUND('01_Raw_Inputs'!J41,4)</f>
        <v>0</v>
      </c>
      <c r="K39">
        <f>ROUND('01_Raw_Inputs'!K41,4)</f>
        <v>1.48</v>
      </c>
      <c r="L39">
        <f>ROUND('01_Raw_Inputs'!L41*'02_Parameters'!$B$5,4)</f>
        <v>6.0265000000000004</v>
      </c>
      <c r="M39">
        <f>ROUND('01_Raw_Inputs'!M41,4)</f>
        <v>25</v>
      </c>
      <c r="O39" s="1"/>
    </row>
    <row r="40" spans="1:15" x14ac:dyDescent="0.2">
      <c r="A40" t="str">
        <f>'01_Raw_Inputs'!A42</f>
        <v>other</v>
      </c>
      <c r="B40">
        <f>'01_Raw_Inputs'!B42</f>
        <v>2035</v>
      </c>
      <c r="C40">
        <f>ROUND('01_Raw_Inputs'!C42,4)</f>
        <v>1</v>
      </c>
      <c r="D40">
        <f>ROUND('01_Raw_Inputs'!D42,4)</f>
        <v>0</v>
      </c>
      <c r="E40">
        <f>ROUND('01_Raw_Inputs'!E42,4)</f>
        <v>0</v>
      </c>
      <c r="F40">
        <f>ROUND('01_Raw_Inputs'!F42,4)</f>
        <v>0</v>
      </c>
      <c r="G40">
        <f>ROUND('01_Raw_Inputs'!G42,4)</f>
        <v>20</v>
      </c>
      <c r="H40">
        <f>ROUND('01_Raw_Inputs'!H42,4)</f>
        <v>0</v>
      </c>
      <c r="I40">
        <f>ROUND('01_Raw_Inputs'!I42,4)</f>
        <v>0</v>
      </c>
      <c r="J40">
        <f>ROUND('01_Raw_Inputs'!J42,4)</f>
        <v>0</v>
      </c>
      <c r="K40">
        <f>ROUND('01_Raw_Inputs'!K42,4)</f>
        <v>0</v>
      </c>
      <c r="L40">
        <f>ROUND('01_Raw_Inputs'!L42,4)</f>
        <v>0.1</v>
      </c>
      <c r="M40">
        <f>ROUND('01_Raw_Inputs'!M42,4)</f>
        <v>0</v>
      </c>
    </row>
    <row r="41" spans="1:15" x14ac:dyDescent="0.2">
      <c r="A41" t="str">
        <f>'01_Raw_Inputs'!A43</f>
        <v>other</v>
      </c>
      <c r="B41">
        <f>'01_Raw_Inputs'!B43</f>
        <v>2050</v>
      </c>
      <c r="C41">
        <f>ROUND('01_Raw_Inputs'!C43,4)</f>
        <v>1</v>
      </c>
      <c r="D41">
        <f>ROUND('01_Raw_Inputs'!D43,4)</f>
        <v>0</v>
      </c>
      <c r="E41">
        <f>ROUND('01_Raw_Inputs'!E43,4)</f>
        <v>0</v>
      </c>
      <c r="F41">
        <f>ROUND('01_Raw_Inputs'!F43,4)</f>
        <v>0</v>
      </c>
      <c r="G41">
        <f>ROUND('01_Raw_Inputs'!G43,4)</f>
        <v>20</v>
      </c>
      <c r="H41">
        <f>ROUND('01_Raw_Inputs'!H43,4)</f>
        <v>0</v>
      </c>
      <c r="I41">
        <f>ROUND('01_Raw_Inputs'!I43,4)</f>
        <v>0</v>
      </c>
      <c r="J41">
        <f>ROUND('01_Raw_Inputs'!J43,4)</f>
        <v>0</v>
      </c>
      <c r="K41">
        <f>ROUND('01_Raw_Inputs'!K43,4)</f>
        <v>0</v>
      </c>
      <c r="L41">
        <f>ROUND('01_Raw_Inputs'!L43,4)</f>
        <v>0.1</v>
      </c>
      <c r="M41">
        <f>ROUND('01_Raw_Inputs'!M43,4)</f>
        <v>0</v>
      </c>
    </row>
    <row r="42" spans="1:15" x14ac:dyDescent="0.2">
      <c r="A42" t="str">
        <f>'01_Raw_Inputs'!A44</f>
        <v>psp_close</v>
      </c>
      <c r="B42">
        <f>'01_Raw_Inputs'!B44</f>
        <v>2035</v>
      </c>
      <c r="C42">
        <f>ROUND('01_Raw_Inputs'!C44,4)</f>
        <v>0.87</v>
      </c>
      <c r="D42">
        <f>ROUND('01_Raw_Inputs'!D44,4)</f>
        <v>0.87</v>
      </c>
      <c r="E42">
        <f>ROUND('01_Raw_Inputs'!E44,4)</f>
        <v>0</v>
      </c>
      <c r="F42">
        <f>ROUND('01_Raw_Inputs'!F44,4)</f>
        <v>0</v>
      </c>
      <c r="G42">
        <f>ROUND('01_Raw_Inputs'!G44,4)</f>
        <v>0</v>
      </c>
      <c r="H42">
        <f>ROUND('01_Raw_Inputs'!H44,4)</f>
        <v>0</v>
      </c>
      <c r="I42">
        <f>ROUND('01_Raw_Inputs'!I44,4)</f>
        <v>0</v>
      </c>
      <c r="J42">
        <f>ROUND('01_Raw_Inputs'!J44,4)</f>
        <v>0</v>
      </c>
      <c r="K42">
        <f>ROUND('01_Raw_Inputs'!K44,4)</f>
        <v>0</v>
      </c>
      <c r="L42">
        <f>ROUND('01_Raw_Inputs'!L44,4)</f>
        <v>0.1</v>
      </c>
      <c r="M42">
        <f>ROUND('01_Raw_Inputs'!M44,4)</f>
        <v>0</v>
      </c>
    </row>
    <row r="43" spans="1:15" x14ac:dyDescent="0.2">
      <c r="A43" t="str">
        <f>'01_Raw_Inputs'!A45</f>
        <v>psp_close</v>
      </c>
      <c r="B43">
        <f>'01_Raw_Inputs'!B45</f>
        <v>2050</v>
      </c>
      <c r="C43">
        <f>ROUND('01_Raw_Inputs'!C45,4)</f>
        <v>0.87</v>
      </c>
      <c r="D43">
        <f>ROUND('01_Raw_Inputs'!D45,4)</f>
        <v>0.87</v>
      </c>
      <c r="E43">
        <f>ROUND('01_Raw_Inputs'!E45,4)</f>
        <v>0</v>
      </c>
      <c r="F43">
        <f>ROUND('01_Raw_Inputs'!F45,4)</f>
        <v>0</v>
      </c>
      <c r="G43">
        <f>ROUND('01_Raw_Inputs'!G45,4)</f>
        <v>0</v>
      </c>
      <c r="H43">
        <f>ROUND('01_Raw_Inputs'!H45,4)</f>
        <v>0</v>
      </c>
      <c r="I43">
        <f>ROUND('01_Raw_Inputs'!I45,4)</f>
        <v>0</v>
      </c>
      <c r="J43">
        <f>ROUND('01_Raw_Inputs'!J45,4)</f>
        <v>0</v>
      </c>
      <c r="K43">
        <f>ROUND('01_Raw_Inputs'!K45,4)</f>
        <v>0</v>
      </c>
      <c r="L43">
        <f>ROUND('01_Raw_Inputs'!L45,4)</f>
        <v>0.1</v>
      </c>
      <c r="M43">
        <f>ROUND('01_Raw_Inputs'!M45,4)</f>
        <v>0</v>
      </c>
    </row>
    <row r="44" spans="1:15" x14ac:dyDescent="0.2">
      <c r="A44" t="str">
        <f>'01_Raw_Inputs'!A46</f>
        <v>psp_open</v>
      </c>
      <c r="B44">
        <f>'01_Raw_Inputs'!B46</f>
        <v>2035</v>
      </c>
      <c r="C44">
        <f>ROUND('01_Raw_Inputs'!C46,4)</f>
        <v>0.87</v>
      </c>
      <c r="D44">
        <f>ROUND('01_Raw_Inputs'!D46,4)</f>
        <v>0.87</v>
      </c>
      <c r="E44">
        <f>ROUND('01_Raw_Inputs'!E46,4)</f>
        <v>0</v>
      </c>
      <c r="F44">
        <f>ROUND('01_Raw_Inputs'!F46,4)</f>
        <v>0</v>
      </c>
      <c r="G44">
        <f>ROUND('01_Raw_Inputs'!G46,4)</f>
        <v>0</v>
      </c>
      <c r="H44">
        <f>ROUND('01_Raw_Inputs'!H46,4)</f>
        <v>0</v>
      </c>
      <c r="I44">
        <f>ROUND('01_Raw_Inputs'!I46,4)</f>
        <v>0</v>
      </c>
      <c r="J44">
        <f>ROUND('01_Raw_Inputs'!J46,4)</f>
        <v>0</v>
      </c>
      <c r="K44">
        <f>ROUND('01_Raw_Inputs'!K46,4)</f>
        <v>0</v>
      </c>
      <c r="L44">
        <f>ROUND('01_Raw_Inputs'!L46,4)</f>
        <v>0.1</v>
      </c>
      <c r="M44">
        <f>ROUND('01_Raw_Inputs'!M46,4)</f>
        <v>0</v>
      </c>
    </row>
    <row r="45" spans="1:15" x14ac:dyDescent="0.2">
      <c r="A45" t="str">
        <f>'01_Raw_Inputs'!A47</f>
        <v>psp_open</v>
      </c>
      <c r="B45">
        <f>'01_Raw_Inputs'!B47</f>
        <v>2050</v>
      </c>
      <c r="C45">
        <f>ROUND('01_Raw_Inputs'!C47,4)</f>
        <v>0.87</v>
      </c>
      <c r="D45">
        <f>ROUND('01_Raw_Inputs'!D47,4)</f>
        <v>0.87</v>
      </c>
      <c r="E45">
        <f>ROUND('01_Raw_Inputs'!E47,4)</f>
        <v>0</v>
      </c>
      <c r="F45">
        <f>ROUND('01_Raw_Inputs'!F47,4)</f>
        <v>0</v>
      </c>
      <c r="G45">
        <f>ROUND('01_Raw_Inputs'!G47,4)</f>
        <v>0</v>
      </c>
      <c r="H45">
        <f>ROUND('01_Raw_Inputs'!H47,4)</f>
        <v>0</v>
      </c>
      <c r="I45">
        <f>ROUND('01_Raw_Inputs'!I47,4)</f>
        <v>0</v>
      </c>
      <c r="J45">
        <f>ROUND('01_Raw_Inputs'!J47,4)</f>
        <v>0</v>
      </c>
      <c r="K45">
        <f>ROUND('01_Raw_Inputs'!K47,4)</f>
        <v>0</v>
      </c>
      <c r="L45">
        <f>ROUND('01_Raw_Inputs'!L47,4)</f>
        <v>0.1</v>
      </c>
      <c r="M45">
        <f>ROUND('01_Raw_Inputs'!M47,4)</f>
        <v>0</v>
      </c>
    </row>
    <row r="46" spans="1:15" x14ac:dyDescent="0.2">
      <c r="A46" t="str">
        <f>'01_Raw_Inputs'!A48</f>
        <v>PTES_large</v>
      </c>
      <c r="B46">
        <f>'01_Raw_Inputs'!B48</f>
        <v>2035</v>
      </c>
      <c r="C46">
        <f>ROUND('01_Raw_Inputs'!C48,4)</f>
        <v>0.92200000000000004</v>
      </c>
      <c r="D46">
        <f>ROUND('01_Raw_Inputs'!D48,4)</f>
        <v>0.92200000000000004</v>
      </c>
      <c r="E46">
        <f>ROUND('01_Raw_Inputs'!E48,4)</f>
        <v>0</v>
      </c>
      <c r="F46">
        <f>ROUND('01_Raw_Inputs'!F48,4)</f>
        <v>0</v>
      </c>
      <c r="G46">
        <f>ROUND('01_Raw_Inputs'!G48,4)</f>
        <v>0</v>
      </c>
      <c r="H46">
        <f>ROUND('01_Raw_Inputs'!H48*'02_Parameters'!$A$2,4)</f>
        <v>12064.25</v>
      </c>
      <c r="I46">
        <f>ROUND('01_Raw_Inputs'!I48,4)</f>
        <v>0</v>
      </c>
      <c r="J46">
        <f>ROUND('01_Raw_Inputs'!J48,4)</f>
        <v>454.5</v>
      </c>
      <c r="K46">
        <f>ROUND('01_Raw_Inputs'!K48,4)</f>
        <v>0</v>
      </c>
      <c r="L46">
        <f>ROUND('01_Raw_Inputs'!L48,4)</f>
        <v>0.1</v>
      </c>
      <c r="M46">
        <f>ROUND('01_Raw_Inputs'!M48,4)</f>
        <v>25</v>
      </c>
    </row>
    <row r="47" spans="1:15" x14ac:dyDescent="0.2">
      <c r="A47" t="str">
        <f>'01_Raw_Inputs'!A49</f>
        <v>PTES_large</v>
      </c>
      <c r="B47">
        <f>'01_Raw_Inputs'!B49</f>
        <v>2050</v>
      </c>
      <c r="C47">
        <f>ROUND('01_Raw_Inputs'!C49,4)</f>
        <v>0.92200000000000004</v>
      </c>
      <c r="D47">
        <f>ROUND('01_Raw_Inputs'!D49,4)</f>
        <v>0.92200000000000004</v>
      </c>
      <c r="E47">
        <f>ROUND('01_Raw_Inputs'!E49,4)</f>
        <v>0</v>
      </c>
      <c r="F47">
        <f>ROUND('01_Raw_Inputs'!F49,4)</f>
        <v>0</v>
      </c>
      <c r="G47">
        <f>ROUND('01_Raw_Inputs'!G49,4)</f>
        <v>0</v>
      </c>
      <c r="H47">
        <f>ROUND('01_Raw_Inputs'!H49*'02_Parameters'!$A$2,4)</f>
        <v>12064.25</v>
      </c>
      <c r="I47">
        <f>ROUND('01_Raw_Inputs'!I49,4)</f>
        <v>0</v>
      </c>
      <c r="J47">
        <f>ROUND('01_Raw_Inputs'!J49,4)</f>
        <v>454.5</v>
      </c>
      <c r="K47">
        <f>ROUND('01_Raw_Inputs'!K49,4)</f>
        <v>0</v>
      </c>
      <c r="L47">
        <f>ROUND('01_Raw_Inputs'!L49,4)</f>
        <v>0.1</v>
      </c>
      <c r="M47">
        <f>ROUND('01_Raw_Inputs'!M49,4)</f>
        <v>25</v>
      </c>
    </row>
    <row r="48" spans="1:15" x14ac:dyDescent="0.2">
      <c r="A48" t="str">
        <f>'01_Raw_Inputs'!A50</f>
        <v>pvrf</v>
      </c>
      <c r="B48">
        <f>'01_Raw_Inputs'!B50</f>
        <v>2035</v>
      </c>
      <c r="C48">
        <f>ROUND('01_Raw_Inputs'!C50,4)</f>
        <v>1</v>
      </c>
      <c r="D48">
        <f>ROUND('01_Raw_Inputs'!D50,4)</f>
        <v>0</v>
      </c>
      <c r="E48">
        <f>ROUND('01_Raw_Inputs'!E50,4)</f>
        <v>0</v>
      </c>
      <c r="F48">
        <f>ROUND('01_Raw_Inputs'!F50,4)</f>
        <v>43000</v>
      </c>
      <c r="G48">
        <f>ROUND('01_Raw_Inputs'!G50,4)</f>
        <v>0</v>
      </c>
      <c r="H48">
        <f>ROUND('01_Raw_Inputs'!H50,4)</f>
        <v>697000</v>
      </c>
      <c r="I48">
        <f>ROUND('01_Raw_Inputs'!I50,4)</f>
        <v>0</v>
      </c>
      <c r="J48">
        <f>ROUND('01_Raw_Inputs'!J50,4)</f>
        <v>0</v>
      </c>
      <c r="K48">
        <f>ROUND('01_Raw_Inputs'!K50,4)</f>
        <v>0</v>
      </c>
      <c r="L48">
        <f>ROUND('01_Raw_Inputs'!L50,4)</f>
        <v>0</v>
      </c>
      <c r="M48">
        <f>ROUND('01_Raw_Inputs'!M50,4)</f>
        <v>25</v>
      </c>
    </row>
    <row r="49" spans="1:15" x14ac:dyDescent="0.2">
      <c r="A49" t="str">
        <f>'01_Raw_Inputs'!A51</f>
        <v>pvrf</v>
      </c>
      <c r="B49">
        <f>'01_Raw_Inputs'!B51</f>
        <v>2050</v>
      </c>
      <c r="C49">
        <f>ROUND('01_Raw_Inputs'!C51,4)</f>
        <v>1</v>
      </c>
      <c r="D49">
        <f>ROUND('01_Raw_Inputs'!D51,4)</f>
        <v>0</v>
      </c>
      <c r="E49">
        <f>ROUND('01_Raw_Inputs'!E51,4)</f>
        <v>0</v>
      </c>
      <c r="F49">
        <f>ROUND('01_Raw_Inputs'!F51,4)</f>
        <v>38000</v>
      </c>
      <c r="G49">
        <f>ROUND('01_Raw_Inputs'!G51,4)</f>
        <v>0</v>
      </c>
      <c r="H49">
        <f>ROUND('01_Raw_Inputs'!H51,4)</f>
        <v>615000</v>
      </c>
      <c r="I49">
        <f>ROUND('01_Raw_Inputs'!I51,4)</f>
        <v>0</v>
      </c>
      <c r="J49">
        <f>ROUND('01_Raw_Inputs'!J51,4)</f>
        <v>0</v>
      </c>
      <c r="K49">
        <f>ROUND('01_Raw_Inputs'!K51,4)</f>
        <v>0</v>
      </c>
      <c r="L49">
        <f>ROUND('01_Raw_Inputs'!L51,4)</f>
        <v>0</v>
      </c>
      <c r="M49">
        <f>ROUND('01_Raw_Inputs'!M51,4)</f>
        <v>25</v>
      </c>
    </row>
    <row r="50" spans="1:15" x14ac:dyDescent="0.2">
      <c r="A50" t="str">
        <f>'01_Raw_Inputs'!A52</f>
        <v>resistive_heater</v>
      </c>
      <c r="B50">
        <f>'01_Raw_Inputs'!B52</f>
        <v>2035</v>
      </c>
      <c r="C50">
        <f>ROUND('01_Raw_Inputs'!C52,4)</f>
        <v>1</v>
      </c>
      <c r="D50">
        <f>ROUND('01_Raw_Inputs'!D52,4)</f>
        <v>0</v>
      </c>
      <c r="E50">
        <f>ROUND('01_Raw_Inputs'!E52,4)</f>
        <v>0</v>
      </c>
      <c r="F50">
        <f>ROUND('01_Raw_Inputs'!F52*'02_Parameters'!$B$5,4)</f>
        <v>211.261</v>
      </c>
      <c r="G50">
        <f>ROUND('01_Raw_Inputs'!G52,4)</f>
        <v>0</v>
      </c>
      <c r="H50">
        <f>ROUND('01_Raw_Inputs'!H52*'02_Parameters'!$B$5,4)</f>
        <v>47478.13</v>
      </c>
      <c r="I50">
        <f>ROUND('01_Raw_Inputs'!I52,4)</f>
        <v>0</v>
      </c>
      <c r="J50">
        <f>ROUND('01_Raw_Inputs'!J52,4)</f>
        <v>0</v>
      </c>
      <c r="K50">
        <f>ROUND('01_Raw_Inputs'!K52,4)</f>
        <v>0</v>
      </c>
      <c r="L50">
        <f>ROUND('01_Raw_Inputs'!L52,4)</f>
        <v>0</v>
      </c>
      <c r="M50">
        <f>ROUND('01_Raw_Inputs'!M52,4)</f>
        <v>15</v>
      </c>
      <c r="O50" s="1"/>
    </row>
    <row r="51" spans="1:15" x14ac:dyDescent="0.2">
      <c r="A51" t="str">
        <f>'01_Raw_Inputs'!A53</f>
        <v>resistive_heater</v>
      </c>
      <c r="B51">
        <f>'01_Raw_Inputs'!B53</f>
        <v>2050</v>
      </c>
      <c r="C51">
        <f>ROUND('01_Raw_Inputs'!C53,4)</f>
        <v>1</v>
      </c>
      <c r="D51">
        <f>ROUND('01_Raw_Inputs'!D53,4)</f>
        <v>0</v>
      </c>
      <c r="E51">
        <f>ROUND('01_Raw_Inputs'!E53,4)</f>
        <v>0</v>
      </c>
      <c r="F51">
        <f>ROUND('01_Raw_Inputs'!F53*'02_Parameters'!$B$5,4)</f>
        <v>211.261</v>
      </c>
      <c r="G51">
        <f>ROUND('01_Raw_Inputs'!G53,4)</f>
        <v>0</v>
      </c>
      <c r="H51">
        <f>ROUND('01_Raw_Inputs'!H53*'02_Parameters'!$B$5,4)</f>
        <v>47478.13</v>
      </c>
      <c r="I51">
        <f>ROUND('01_Raw_Inputs'!I53,4)</f>
        <v>0</v>
      </c>
      <c r="J51">
        <f>ROUND('01_Raw_Inputs'!J53,4)</f>
        <v>0</v>
      </c>
      <c r="K51">
        <f>ROUND('01_Raw_Inputs'!K53,4)</f>
        <v>0</v>
      </c>
      <c r="L51">
        <f>ROUND('01_Raw_Inputs'!L53,4)</f>
        <v>0</v>
      </c>
      <c r="M51">
        <f>ROUND('01_Raw_Inputs'!M53,4)</f>
        <v>15</v>
      </c>
      <c r="O51" s="1"/>
    </row>
    <row r="52" spans="1:15" x14ac:dyDescent="0.2">
      <c r="A52" t="str">
        <f>'01_Raw_Inputs'!A54</f>
        <v>resmethane</v>
      </c>
      <c r="B52">
        <f>'01_Raw_Inputs'!B54</f>
        <v>2035</v>
      </c>
      <c r="C52">
        <f>ROUND('01_Raw_Inputs'!C54,4)</f>
        <v>0</v>
      </c>
      <c r="D52">
        <f>ROUND('01_Raw_Inputs'!D54,4)</f>
        <v>0</v>
      </c>
      <c r="E52">
        <f>ROUND('01_Raw_Inputs'!E54,4)</f>
        <v>0</v>
      </c>
      <c r="F52">
        <f>ROUND('01_Raw_Inputs'!F54,4)</f>
        <v>0</v>
      </c>
      <c r="G52">
        <f>ROUND('01_Raw_Inputs'!G54,4)</f>
        <v>0</v>
      </c>
      <c r="H52">
        <f>ROUND('01_Raw_Inputs'!H54,4)</f>
        <v>0</v>
      </c>
      <c r="I52">
        <f>ROUND('01_Raw_Inputs'!I54,4)</f>
        <v>0</v>
      </c>
      <c r="J52">
        <f>ROUND('01_Raw_Inputs'!J54,4)</f>
        <v>0</v>
      </c>
      <c r="K52">
        <f>ROUND('01_Raw_Inputs'!K54*'02_Parameters'!$B$10,4)</f>
        <v>285.471</v>
      </c>
      <c r="L52">
        <f>ROUND('01_Raw_Inputs'!L54,4)</f>
        <v>0</v>
      </c>
      <c r="M52">
        <f>ROUND('01_Raw_Inputs'!M54,4)</f>
        <v>0</v>
      </c>
      <c r="O52" s="1"/>
    </row>
    <row r="53" spans="1:15" x14ac:dyDescent="0.2">
      <c r="A53" t="str">
        <f>'01_Raw_Inputs'!A55</f>
        <v>resmethane</v>
      </c>
      <c r="B53">
        <f>'01_Raw_Inputs'!B55</f>
        <v>2050</v>
      </c>
      <c r="C53">
        <f>ROUND('01_Raw_Inputs'!C55,4)</f>
        <v>0</v>
      </c>
      <c r="D53">
        <f>ROUND('01_Raw_Inputs'!D55,4)</f>
        <v>0</v>
      </c>
      <c r="E53">
        <f>ROUND('01_Raw_Inputs'!E55,4)</f>
        <v>0</v>
      </c>
      <c r="F53">
        <f>ROUND('01_Raw_Inputs'!F55,4)</f>
        <v>0</v>
      </c>
      <c r="G53">
        <f>ROUND('01_Raw_Inputs'!G55,4)</f>
        <v>0</v>
      </c>
      <c r="H53">
        <f>ROUND('01_Raw_Inputs'!H55,4)</f>
        <v>0</v>
      </c>
      <c r="I53">
        <f>ROUND('01_Raw_Inputs'!I55,4)</f>
        <v>0</v>
      </c>
      <c r="J53">
        <f>ROUND('01_Raw_Inputs'!J55,4)</f>
        <v>0</v>
      </c>
      <c r="K53">
        <f>ROUND('01_Raw_Inputs'!K55*'02_Parameters'!$B$10,4)</f>
        <v>285.471</v>
      </c>
      <c r="L53">
        <f>ROUND('01_Raw_Inputs'!L55,4)</f>
        <v>0</v>
      </c>
      <c r="M53">
        <f>ROUND('01_Raw_Inputs'!M55,4)</f>
        <v>0</v>
      </c>
      <c r="O53" s="1"/>
    </row>
    <row r="54" spans="1:15" x14ac:dyDescent="0.2">
      <c r="A54" t="str">
        <f>'01_Raw_Inputs'!A56</f>
        <v>SCGTfossil</v>
      </c>
      <c r="B54">
        <f>'01_Raw_Inputs'!B56</f>
        <v>2035</v>
      </c>
      <c r="C54">
        <f>ROUND('01_Raw_Inputs'!C56,4)</f>
        <v>0.35</v>
      </c>
      <c r="D54">
        <f>ROUND('01_Raw_Inputs'!D56,4)</f>
        <v>0</v>
      </c>
      <c r="E54">
        <f>ROUND('01_Raw_Inputs'!E56,4)</f>
        <v>0.20119999999999999</v>
      </c>
      <c r="F54">
        <f>ROUND('01_Raw_Inputs'!F56,4)</f>
        <v>0</v>
      </c>
      <c r="G54">
        <f>ROUND('01_Raw_Inputs'!G56*'02_Parameters'!$B$7,4)</f>
        <v>25.591799999999999</v>
      </c>
      <c r="H54">
        <f>ROUND('01_Raw_Inputs'!H56*'02_Parameters'!$B$5,4)</f>
        <v>482520.12400000001</v>
      </c>
      <c r="I54">
        <f>ROUND('01_Raw_Inputs'!I56,4)</f>
        <v>0</v>
      </c>
      <c r="J54">
        <f>ROUND('01_Raw_Inputs'!J56,4)</f>
        <v>0</v>
      </c>
      <c r="K54">
        <f>ROUND('01_Raw_Inputs'!K56,4)</f>
        <v>0</v>
      </c>
      <c r="L54">
        <f>ROUND('01_Raw_Inputs'!L56*'02_Parameters'!$B$5,4)</f>
        <v>6.0265000000000004</v>
      </c>
      <c r="M54">
        <f>ROUND('01_Raw_Inputs'!M56,4)</f>
        <v>25</v>
      </c>
    </row>
    <row r="55" spans="1:15" x14ac:dyDescent="0.2">
      <c r="A55" t="str">
        <f>'01_Raw_Inputs'!A57</f>
        <v>SCGTfossil</v>
      </c>
      <c r="B55">
        <f>'01_Raw_Inputs'!B57</f>
        <v>2050</v>
      </c>
      <c r="C55">
        <f>ROUND('01_Raw_Inputs'!C57,4)</f>
        <v>0.35</v>
      </c>
      <c r="D55">
        <f>ROUND('01_Raw_Inputs'!D57,4)</f>
        <v>0</v>
      </c>
      <c r="E55">
        <f>ROUND('01_Raw_Inputs'!E57,4)</f>
        <v>0.20119999999999999</v>
      </c>
      <c r="F55">
        <f>ROUND('01_Raw_Inputs'!F57,4)</f>
        <v>0</v>
      </c>
      <c r="G55">
        <f>ROUND('01_Raw_Inputs'!G57*'02_Parameters'!$B$7,4)</f>
        <v>17.717400000000001</v>
      </c>
      <c r="H55">
        <f>ROUND('01_Raw_Inputs'!H57*'02_Parameters'!$B$5,4)</f>
        <v>482520.12400000001</v>
      </c>
      <c r="I55">
        <f>ROUND('01_Raw_Inputs'!I57,4)</f>
        <v>0</v>
      </c>
      <c r="J55">
        <f>ROUND('01_Raw_Inputs'!J57,4)</f>
        <v>0</v>
      </c>
      <c r="K55">
        <f>ROUND('01_Raw_Inputs'!K57,4)</f>
        <v>0</v>
      </c>
      <c r="L55">
        <f>ROUND('01_Raw_Inputs'!L57*'02_Parameters'!$B$5,4)</f>
        <v>6.0265000000000004</v>
      </c>
      <c r="M55">
        <f>ROUND('01_Raw_Inputs'!M57,4)</f>
        <v>25</v>
      </c>
    </row>
    <row r="56" spans="1:15" x14ac:dyDescent="0.2">
      <c r="A56" t="str">
        <f>'01_Raw_Inputs'!A58</f>
        <v>SCGTresmethane</v>
      </c>
      <c r="B56">
        <f>'01_Raw_Inputs'!B58</f>
        <v>2035</v>
      </c>
      <c r="C56">
        <f>ROUND('01_Raw_Inputs'!C58,4)</f>
        <v>0.35</v>
      </c>
      <c r="D56">
        <f>ROUND('01_Raw_Inputs'!D58,4)</f>
        <v>0</v>
      </c>
      <c r="E56">
        <f>ROUND('01_Raw_Inputs'!E58,4)</f>
        <v>0</v>
      </c>
      <c r="F56">
        <f>ROUND('01_Raw_Inputs'!F58,4)</f>
        <v>0</v>
      </c>
      <c r="G56">
        <f>ROUND('01_Raw_Inputs'!G58*'02_Parameters'!$B$5,4)</f>
        <v>220.15620000000001</v>
      </c>
      <c r="H56">
        <f>ROUND('01_Raw_Inputs'!H58*'02_Parameters'!$B$5,4)</f>
        <v>482520.12400000001</v>
      </c>
      <c r="I56">
        <f>ROUND('01_Raw_Inputs'!I58,4)</f>
        <v>0</v>
      </c>
      <c r="J56">
        <f>ROUND('01_Raw_Inputs'!J58,4)</f>
        <v>0</v>
      </c>
      <c r="K56">
        <f>ROUND('01_Raw_Inputs'!K58,4)</f>
        <v>0</v>
      </c>
      <c r="L56">
        <f>ROUND('01_Raw_Inputs'!L58*'02_Parameters'!$B$5,4)</f>
        <v>6.0265000000000004</v>
      </c>
      <c r="M56">
        <f>ROUND('01_Raw_Inputs'!M58,4)</f>
        <v>25</v>
      </c>
    </row>
    <row r="57" spans="1:15" x14ac:dyDescent="0.2">
      <c r="A57" t="str">
        <f>'01_Raw_Inputs'!A59</f>
        <v>SCGTresmethane</v>
      </c>
      <c r="B57">
        <f>'01_Raw_Inputs'!B59</f>
        <v>2050</v>
      </c>
      <c r="C57">
        <f>ROUND('01_Raw_Inputs'!C59,4)</f>
        <v>0.35</v>
      </c>
      <c r="D57">
        <f>ROUND('01_Raw_Inputs'!D59,4)</f>
        <v>0</v>
      </c>
      <c r="E57">
        <f>ROUND('01_Raw_Inputs'!E59,4)</f>
        <v>0</v>
      </c>
      <c r="F57">
        <f>ROUND('01_Raw_Inputs'!F59,4)</f>
        <v>0</v>
      </c>
      <c r="G57">
        <f>ROUND('01_Raw_Inputs'!G59*'02_Parameters'!$B$5,4)</f>
        <v>220.15620000000001</v>
      </c>
      <c r="H57">
        <f>ROUND('01_Raw_Inputs'!H59*'02_Parameters'!$B$5,4)</f>
        <v>482520.12400000001</v>
      </c>
      <c r="I57">
        <f>ROUND('01_Raw_Inputs'!I59,4)</f>
        <v>0</v>
      </c>
      <c r="J57">
        <f>ROUND('01_Raw_Inputs'!J59,4)</f>
        <v>0</v>
      </c>
      <c r="K57">
        <f>ROUND('01_Raw_Inputs'!K59,4)</f>
        <v>0</v>
      </c>
      <c r="L57">
        <f>ROUND('01_Raw_Inputs'!L59*'02_Parameters'!$B$5,4)</f>
        <v>6.0265000000000004</v>
      </c>
      <c r="M57">
        <f>ROUND('01_Raw_Inputs'!M59,4)</f>
        <v>25</v>
      </c>
    </row>
    <row r="58" spans="1:15" x14ac:dyDescent="0.2">
      <c r="A58" t="str">
        <f>'01_Raw_Inputs'!A60</f>
        <v>TTES_medium</v>
      </c>
      <c r="B58">
        <f>'01_Raw_Inputs'!B60</f>
        <v>2035</v>
      </c>
      <c r="C58">
        <f>ROUND('01_Raw_Inputs'!C60,4)</f>
        <v>0.92200000000000004</v>
      </c>
      <c r="D58">
        <f>ROUND('01_Raw_Inputs'!D60,4)</f>
        <v>0.92200000000000004</v>
      </c>
      <c r="E58">
        <f>ROUND('01_Raw_Inputs'!E60,4)</f>
        <v>0</v>
      </c>
      <c r="F58">
        <f>ROUND('01_Raw_Inputs'!F60,4)</f>
        <v>0</v>
      </c>
      <c r="G58">
        <f>ROUND('01_Raw_Inputs'!G60,4)</f>
        <v>0</v>
      </c>
      <c r="H58">
        <f>ROUND('01_Raw_Inputs'!H60*'02_Parameters'!$A$2,4)</f>
        <v>3075</v>
      </c>
      <c r="I58">
        <f>ROUND('01_Raw_Inputs'!I60,4)</f>
        <v>0</v>
      </c>
      <c r="J58">
        <f>ROUND('01_Raw_Inputs'!J60,4)</f>
        <v>12625</v>
      </c>
      <c r="K58">
        <f>ROUND('01_Raw_Inputs'!K60,4)</f>
        <v>0</v>
      </c>
      <c r="L58">
        <f>ROUND('01_Raw_Inputs'!L60,4)</f>
        <v>0.1</v>
      </c>
      <c r="M58">
        <f>ROUND('01_Raw_Inputs'!M60,4)</f>
        <v>37.5</v>
      </c>
    </row>
    <row r="59" spans="1:15" x14ac:dyDescent="0.2">
      <c r="A59" t="str">
        <f>'01_Raw_Inputs'!A61</f>
        <v>TTES_medium</v>
      </c>
      <c r="B59">
        <f>'01_Raw_Inputs'!B61</f>
        <v>2050</v>
      </c>
      <c r="C59">
        <f>ROUND('01_Raw_Inputs'!C61,4)</f>
        <v>0.92200000000000004</v>
      </c>
      <c r="D59">
        <f>ROUND('01_Raw_Inputs'!D61,4)</f>
        <v>0.92200000000000004</v>
      </c>
      <c r="E59">
        <f>ROUND('01_Raw_Inputs'!E61,4)</f>
        <v>0</v>
      </c>
      <c r="F59">
        <f>ROUND('01_Raw_Inputs'!F61,4)</f>
        <v>0</v>
      </c>
      <c r="G59">
        <f>ROUND('01_Raw_Inputs'!G61,4)</f>
        <v>0</v>
      </c>
      <c r="H59">
        <f>ROUND('01_Raw_Inputs'!H61*'02_Parameters'!$A$2,4)</f>
        <v>3075</v>
      </c>
      <c r="I59">
        <f>ROUND('01_Raw_Inputs'!I61,4)</f>
        <v>0</v>
      </c>
      <c r="J59">
        <f>ROUND('01_Raw_Inputs'!J61,4)</f>
        <v>12625</v>
      </c>
      <c r="K59">
        <f>ROUND('01_Raw_Inputs'!K61,4)</f>
        <v>0</v>
      </c>
      <c r="L59">
        <f>ROUND('01_Raw_Inputs'!L61,4)</f>
        <v>0.1</v>
      </c>
      <c r="M59">
        <f>ROUND('01_Raw_Inputs'!M61,4)</f>
        <v>37.5</v>
      </c>
    </row>
    <row r="60" spans="1:15" x14ac:dyDescent="0.2">
      <c r="A60" t="str">
        <f>'01_Raw_Inputs'!A62</f>
        <v>v2g</v>
      </c>
      <c r="B60">
        <f>'01_Raw_Inputs'!B62</f>
        <v>2035</v>
      </c>
      <c r="C60">
        <f>ROUND('01_Raw_Inputs'!C62,4)</f>
        <v>0.9274</v>
      </c>
      <c r="D60">
        <f>ROUND('01_Raw_Inputs'!D62,4)</f>
        <v>0.9274</v>
      </c>
      <c r="E60">
        <f>ROUND('01_Raw_Inputs'!E62,4)</f>
        <v>0</v>
      </c>
      <c r="F60">
        <f>ROUND('01_Raw_Inputs'!F62,4)</f>
        <v>0</v>
      </c>
      <c r="G60">
        <f>ROUND('01_Raw_Inputs'!G62,4)</f>
        <v>0</v>
      </c>
      <c r="H60">
        <f>ROUND('01_Raw_Inputs'!H62,4)</f>
        <v>0</v>
      </c>
      <c r="I60">
        <f>ROUND('01_Raw_Inputs'!I62,4)</f>
        <v>0</v>
      </c>
      <c r="J60">
        <f>ROUND('01_Raw_Inputs'!J62,4)</f>
        <v>0</v>
      </c>
      <c r="K60">
        <f>ROUND('01_Raw_Inputs'!K62,4)</f>
        <v>0</v>
      </c>
      <c r="L60">
        <f>ROUND('01_Raw_Inputs'!L62,4)</f>
        <v>0.1</v>
      </c>
      <c r="M60">
        <f>ROUND('01_Raw_Inputs'!M62,4)</f>
        <v>0</v>
      </c>
    </row>
    <row r="61" spans="1:15" x14ac:dyDescent="0.2">
      <c r="A61" t="str">
        <f>'01_Raw_Inputs'!A63</f>
        <v>v2g</v>
      </c>
      <c r="B61">
        <f>'01_Raw_Inputs'!B63</f>
        <v>2050</v>
      </c>
      <c r="C61">
        <f>ROUND('01_Raw_Inputs'!C63,4)</f>
        <v>0.9274</v>
      </c>
      <c r="D61">
        <f>ROUND('01_Raw_Inputs'!D63,4)</f>
        <v>0.9274</v>
      </c>
      <c r="E61">
        <f>ROUND('01_Raw_Inputs'!E63,4)</f>
        <v>0</v>
      </c>
      <c r="F61">
        <f>ROUND('01_Raw_Inputs'!F63,4)</f>
        <v>0</v>
      </c>
      <c r="G61">
        <f>ROUND('01_Raw_Inputs'!G63,4)</f>
        <v>0</v>
      </c>
      <c r="H61">
        <f>ROUND('01_Raw_Inputs'!H63,4)</f>
        <v>0</v>
      </c>
      <c r="I61">
        <f>ROUND('01_Raw_Inputs'!I63,4)</f>
        <v>0</v>
      </c>
      <c r="J61">
        <f>ROUND('01_Raw_Inputs'!J63,4)</f>
        <v>0</v>
      </c>
      <c r="K61">
        <f>ROUND('01_Raw_Inputs'!K63,4)</f>
        <v>0</v>
      </c>
      <c r="L61">
        <f>ROUND('01_Raw_Inputs'!L63,4)</f>
        <v>0.1</v>
      </c>
      <c r="M61">
        <f>ROUND('01_Raw_Inputs'!M63,4)</f>
        <v>0</v>
      </c>
    </row>
    <row r="62" spans="1:15" x14ac:dyDescent="0.2">
      <c r="A62" t="str">
        <f>'01_Raw_Inputs'!A64</f>
        <v>windon</v>
      </c>
      <c r="B62">
        <f>'01_Raw_Inputs'!B64</f>
        <v>2035</v>
      </c>
      <c r="C62">
        <f>ROUND('01_Raw_Inputs'!C64,4)</f>
        <v>1</v>
      </c>
      <c r="D62">
        <f>ROUND('01_Raw_Inputs'!D64,4)</f>
        <v>0</v>
      </c>
      <c r="E62">
        <f>ROUND('01_Raw_Inputs'!E64,4)</f>
        <v>0</v>
      </c>
      <c r="F62">
        <f>ROUND('01_Raw_Inputs'!F64,4)</f>
        <v>69000</v>
      </c>
      <c r="G62">
        <f>ROUND('01_Raw_Inputs'!G64,4)</f>
        <v>0</v>
      </c>
      <c r="H62">
        <f>ROUND('01_Raw_Inputs'!H64,4)</f>
        <v>1997284</v>
      </c>
      <c r="I62">
        <f>ROUND('01_Raw_Inputs'!I64,4)</f>
        <v>0</v>
      </c>
      <c r="J62">
        <f>ROUND('01_Raw_Inputs'!J64,4)</f>
        <v>0</v>
      </c>
      <c r="K62">
        <f>ROUND('01_Raw_Inputs'!K64,4)</f>
        <v>0</v>
      </c>
      <c r="L62">
        <f>ROUND('01_Raw_Inputs'!L64,4)</f>
        <v>0</v>
      </c>
      <c r="M62">
        <f>ROUND('01_Raw_Inputs'!M64,4)</f>
        <v>25</v>
      </c>
    </row>
    <row r="63" spans="1:15" x14ac:dyDescent="0.2">
      <c r="A63" t="str">
        <f>'01_Raw_Inputs'!A65</f>
        <v>windon</v>
      </c>
      <c r="B63">
        <f>'01_Raw_Inputs'!B65</f>
        <v>2050</v>
      </c>
      <c r="C63">
        <f>ROUND('01_Raw_Inputs'!C65,4)</f>
        <v>1</v>
      </c>
      <c r="D63">
        <f>ROUND('01_Raw_Inputs'!D65,4)</f>
        <v>0</v>
      </c>
      <c r="E63">
        <f>ROUND('01_Raw_Inputs'!E65,4)</f>
        <v>0</v>
      </c>
      <c r="F63">
        <f>ROUND('01_Raw_Inputs'!F65,4)</f>
        <v>63000</v>
      </c>
      <c r="G63">
        <f>ROUND('01_Raw_Inputs'!G65,4)</f>
        <v>0</v>
      </c>
      <c r="H63">
        <f>ROUND('01_Raw_Inputs'!H65,4)</f>
        <v>1778000</v>
      </c>
      <c r="I63">
        <f>ROUND('01_Raw_Inputs'!I65,4)</f>
        <v>0</v>
      </c>
      <c r="J63">
        <f>ROUND('01_Raw_Inputs'!J65,4)</f>
        <v>0</v>
      </c>
      <c r="K63">
        <f>ROUND('01_Raw_Inputs'!K65,4)</f>
        <v>0</v>
      </c>
      <c r="L63">
        <f>ROUND('01_Raw_Inputs'!L65,4)</f>
        <v>0</v>
      </c>
      <c r="M63">
        <f>ROUND('01_Raw_Inputs'!M65,4)</f>
        <v>25</v>
      </c>
    </row>
    <row r="64" spans="1:15" x14ac:dyDescent="0.2">
      <c r="A64" t="str">
        <f>'01_Raw_Inputs'!A66</f>
        <v>windof</v>
      </c>
      <c r="B64">
        <f>'01_Raw_Inputs'!B66</f>
        <v>2035</v>
      </c>
      <c r="C64">
        <f>ROUND('01_Raw_Inputs'!C66,4)</f>
        <v>1</v>
      </c>
      <c r="D64">
        <f>ROUND('01_Raw_Inputs'!D66,4)</f>
        <v>0</v>
      </c>
      <c r="E64">
        <f>ROUND('01_Raw_Inputs'!E66,4)</f>
        <v>0</v>
      </c>
      <c r="F64">
        <f>ROUND('01_Raw_Inputs'!F66,4)</f>
        <v>0</v>
      </c>
      <c r="G64">
        <f>ROUND('01_Raw_Inputs'!G66,4)</f>
        <v>0</v>
      </c>
      <c r="H64">
        <f>ROUND('01_Raw_Inputs'!H66,4)</f>
        <v>0</v>
      </c>
      <c r="I64">
        <f>ROUND('01_Raw_Inputs'!I66,4)</f>
        <v>0</v>
      </c>
      <c r="J64">
        <f>ROUND('01_Raw_Inputs'!J66,4)</f>
        <v>0</v>
      </c>
      <c r="K64">
        <f>ROUND('01_Raw_Inputs'!K66,4)</f>
        <v>0</v>
      </c>
      <c r="L64">
        <f>ROUND('01_Raw_Inputs'!L66,4)</f>
        <v>0</v>
      </c>
      <c r="M64">
        <f>ROUND('01_Raw_Inputs'!M66,4)</f>
        <v>0</v>
      </c>
    </row>
    <row r="65" spans="1:13" x14ac:dyDescent="0.2">
      <c r="A65" t="str">
        <f>'01_Raw_Inputs'!A67</f>
        <v>windof</v>
      </c>
      <c r="B65">
        <f>'01_Raw_Inputs'!B67</f>
        <v>2050</v>
      </c>
      <c r="C65">
        <f>ROUND('01_Raw_Inputs'!C67,4)</f>
        <v>1</v>
      </c>
      <c r="D65">
        <f>ROUND('01_Raw_Inputs'!D67,4)</f>
        <v>0</v>
      </c>
      <c r="E65">
        <f>ROUND('01_Raw_Inputs'!E67,4)</f>
        <v>0</v>
      </c>
      <c r="F65">
        <f>ROUND('01_Raw_Inputs'!F67,4)</f>
        <v>0</v>
      </c>
      <c r="G65">
        <f>ROUND('01_Raw_Inputs'!G67,4)</f>
        <v>0</v>
      </c>
      <c r="H65">
        <f>ROUND('01_Raw_Inputs'!H67,4)</f>
        <v>0</v>
      </c>
      <c r="I65">
        <f>ROUND('01_Raw_Inputs'!I67,4)</f>
        <v>0</v>
      </c>
      <c r="J65">
        <f>ROUND('01_Raw_Inputs'!J67,4)</f>
        <v>0</v>
      </c>
      <c r="K65">
        <f>ROUND('01_Raw_Inputs'!K67,4)</f>
        <v>0</v>
      </c>
      <c r="L65">
        <f>ROUND('01_Raw_Inputs'!L67,4)</f>
        <v>0</v>
      </c>
      <c r="M65">
        <f>ROUND('01_Raw_Inputs'!M67,4)</f>
        <v>0</v>
      </c>
    </row>
  </sheetData>
  <pageMargins left="0.7" right="0.7" top="0.78740157499999996" bottom="0.78740157499999996"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kument" ma:contentTypeID="0x0101007DBC5086A35AD94C9C19F4BD26201266" ma:contentTypeVersion="8" ma:contentTypeDescription="Ein neues Dokument erstellen." ma:contentTypeScope="" ma:versionID="6446b0fda97021fc1969c07a06a6bf7b">
  <xsd:schema xmlns:xsd="http://www.w3.org/2001/XMLSchema" xmlns:xs="http://www.w3.org/2001/XMLSchema" xmlns:p="http://schemas.microsoft.com/office/2006/metadata/properties" xmlns:ns2="b2adb506-cae1-4f42-9471-48022024cfbd" targetNamespace="http://schemas.microsoft.com/office/2006/metadata/properties" ma:root="true" ma:fieldsID="c59fef23aafbd09dfa01bb652432228b" ns2:_="">
    <xsd:import namespace="b2adb506-cae1-4f42-9471-48022024cfb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2adb506-cae1-4f42-9471-48022024cfb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4794224-E820-4F33-BED8-5DC9723449C2}">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1D1ECBE5-2CA3-48F3-A21C-581FB063D1E7}">
  <ds:schemaRefs>
    <ds:schemaRef ds:uri="http://schemas.microsoft.com/sharepoint/v3/contenttype/forms"/>
  </ds:schemaRefs>
</ds:datastoreItem>
</file>

<file path=customXml/itemProps3.xml><?xml version="1.0" encoding="utf-8"?>
<ds:datastoreItem xmlns:ds="http://schemas.openxmlformats.org/officeDocument/2006/customXml" ds:itemID="{F2BAA3C7-391A-498E-BE3B-E25DA09D5E9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2adb506-cae1-4f42-9471-48022024cfb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3</vt:i4>
      </vt:variant>
    </vt:vector>
  </HeadingPairs>
  <TitlesOfParts>
    <vt:vector size="3" baseType="lpstr">
      <vt:lpstr>01_Raw_Inputs</vt:lpstr>
      <vt:lpstr>02_Parameters</vt:lpstr>
      <vt:lpstr>03_Calculated_Costs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Holmer David (home)</dc:creator>
  <cp:lastModifiedBy>Holmer David (home)</cp:lastModifiedBy>
  <dcterms:created xsi:type="dcterms:W3CDTF">2025-12-01T14:52:08Z</dcterms:created>
  <dcterms:modified xsi:type="dcterms:W3CDTF">2025-12-18T16:03:03Z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0d9bad3-6dac-4e9a-89a3-89f3b8d247b2_Enabled">
    <vt:lpwstr>true</vt:lpwstr>
  </property>
  <property fmtid="{D5CDD505-2E9C-101B-9397-08002B2CF9AE}" pid="3" name="MSIP_Label_10d9bad3-6dac-4e9a-89a3-89f3b8d247b2_SetDate">
    <vt:lpwstr>2025-12-01T16:41:20Z</vt:lpwstr>
  </property>
  <property fmtid="{D5CDD505-2E9C-101B-9397-08002B2CF9AE}" pid="4" name="MSIP_Label_10d9bad3-6dac-4e9a-89a3-89f3b8d247b2_Method">
    <vt:lpwstr>Standard</vt:lpwstr>
  </property>
  <property fmtid="{D5CDD505-2E9C-101B-9397-08002B2CF9AE}" pid="5" name="MSIP_Label_10d9bad3-6dac-4e9a-89a3-89f3b8d247b2_Name">
    <vt:lpwstr>10d9bad3-6dac-4e9a-89a3-89f3b8d247b2</vt:lpwstr>
  </property>
  <property fmtid="{D5CDD505-2E9C-101B-9397-08002B2CF9AE}" pid="6" name="MSIP_Label_10d9bad3-6dac-4e9a-89a3-89f3b8d247b2_SiteId">
    <vt:lpwstr>5d1a9f9d-201f-4a10-b983-451cf65cbc1e</vt:lpwstr>
  </property>
  <property fmtid="{D5CDD505-2E9C-101B-9397-08002B2CF9AE}" pid="7" name="MSIP_Label_10d9bad3-6dac-4e9a-89a3-89f3b8d247b2_ActionId">
    <vt:lpwstr>f248b88b-e344-449e-bbe9-1e7576092a6d</vt:lpwstr>
  </property>
  <property fmtid="{D5CDD505-2E9C-101B-9397-08002B2CF9AE}" pid="8" name="MSIP_Label_10d9bad3-6dac-4e9a-89a3-89f3b8d247b2_ContentBits">
    <vt:lpwstr>0</vt:lpwstr>
  </property>
  <property fmtid="{D5CDD505-2E9C-101B-9397-08002B2CF9AE}" pid="9" name="MSIP_Label_10d9bad3-6dac-4e9a-89a3-89f3b8d247b2_Tag">
    <vt:lpwstr>10, 3, 0, 1</vt:lpwstr>
  </property>
  <property fmtid="{D5CDD505-2E9C-101B-9397-08002B2CF9AE}" pid="10" name="ContentTypeId">
    <vt:lpwstr>0x0101007DBC5086A35AD94C9C19F4BD26201266</vt:lpwstr>
  </property>
</Properties>
</file>